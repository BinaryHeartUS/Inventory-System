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rosehulman-my.sharepoint.com/personal/lucasja_rose-hulman_edu/Documents/Documents/"/>
    </mc:Choice>
  </mc:AlternateContent>
  <xr:revisionPtr revIDLastSave="0" documentId="8_{97CF21FA-E5B5-40B6-91B6-79617555DD1A}" xr6:coauthVersionLast="47" xr6:coauthVersionMax="47" xr10:uidLastSave="{00000000-0000-0000-0000-000000000000}"/>
  <bookViews>
    <workbookView xWindow="-96" yWindow="0" windowWidth="11712" windowHeight="13776" firstSheet="4" activeTab="6" xr2:uid="{5168A3A3-41E7-40C2-87C5-8FD5FAD669C3}"/>
  </bookViews>
  <sheets>
    <sheet name="Laptops" sheetId="1" r:id="rId1"/>
    <sheet name="Desktops" sheetId="7" r:id="rId2"/>
    <sheet name="Tablets" sheetId="10" r:id="rId3"/>
    <sheet name="Ready To Donate" sheetId="2" r:id="rId4"/>
    <sheet name="Donated" sheetId="11" r:id="rId5"/>
    <sheet name="Parts" sheetId="12" r:id="rId6"/>
    <sheet name="Tools" sheetId="13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1" l="1"/>
  <c r="N2" i="11"/>
</calcChain>
</file>

<file path=xl/sharedStrings.xml><?xml version="1.0" encoding="utf-8"?>
<sst xmlns="http://schemas.openxmlformats.org/spreadsheetml/2006/main" count="858" uniqueCount="249">
  <si>
    <t>LAPTOPS</t>
  </si>
  <si>
    <t>Item Name</t>
  </si>
  <si>
    <t>ID</t>
  </si>
  <si>
    <t>Manufacturer</t>
  </si>
  <si>
    <t>Year released</t>
  </si>
  <si>
    <t>Special Reqs/Notes</t>
  </si>
  <si>
    <t>Charger</t>
  </si>
  <si>
    <t>Working Battery</t>
  </si>
  <si>
    <t>Current Status</t>
  </si>
  <si>
    <t>Date Updated</t>
  </si>
  <si>
    <t>Column1</t>
  </si>
  <si>
    <t>Lenovo 100e Chromebook 2nd Gen</t>
  </si>
  <si>
    <t>Lenovo</t>
  </si>
  <si>
    <t>ARM, ARM bad, has charger</t>
  </si>
  <si>
    <t>Included</t>
  </si>
  <si>
    <t>In Progress</t>
  </si>
  <si>
    <t>Toshiba Satellite C655-S5547</t>
  </si>
  <si>
    <t>Toshiba</t>
  </si>
  <si>
    <t>Won't turn on, has missing SSD</t>
  </si>
  <si>
    <t>Apple MacBook Air A1369</t>
  </si>
  <si>
    <t>Apple</t>
  </si>
  <si>
    <t>Not Started</t>
  </si>
  <si>
    <t>bv</t>
  </si>
  <si>
    <t>Apple MacBook Air A2179</t>
  </si>
  <si>
    <t>Toshiba Satellite Click W35Dt-A3300</t>
  </si>
  <si>
    <t>Not Included</t>
  </si>
  <si>
    <t>Toshiba Satellite C55t-C5300</t>
  </si>
  <si>
    <t>Dell Precision M6700</t>
  </si>
  <si>
    <t>Dell</t>
  </si>
  <si>
    <t>Samsung 500C Chromebook</t>
  </si>
  <si>
    <t>Samsung</t>
  </si>
  <si>
    <t>Dell Inspiron N7110</t>
  </si>
  <si>
    <t>Needs OS installed, need to change to UEFI (if possible)</t>
  </si>
  <si>
    <t>Lenovo Ideapad 3 Chromebook 11AST5</t>
  </si>
  <si>
    <t>Battery issue</t>
  </si>
  <si>
    <t>No</t>
  </si>
  <si>
    <t>HP Elitebook 8560p</t>
  </si>
  <si>
    <t>HP</t>
  </si>
  <si>
    <t>Needs Vanilla but isn't installing easily (Claims to be in legacy mode even after factory reset)</t>
  </si>
  <si>
    <t>HP 15-db0004dx</t>
  </si>
  <si>
    <t>HP ProBook 450 G7</t>
  </si>
  <si>
    <t>Screen does not turn on but power light does, SSD installed</t>
  </si>
  <si>
    <t>ThinkPad P15s Gen 1</t>
  </si>
  <si>
    <t>Thinkpad S230u</t>
  </si>
  <si>
    <t>Might need to scrap 4gb of ram soldered</t>
  </si>
  <si>
    <t>Macbook Pro A1708</t>
  </si>
  <si>
    <t>Surface Pro 1796</t>
  </si>
  <si>
    <t>Microsoft</t>
  </si>
  <si>
    <t>Windows 11 w/ all updates, battery no work :(</t>
  </si>
  <si>
    <t>Thinkpad Yoga 11e</t>
  </si>
  <si>
    <t>Lenovo Edge 15</t>
  </si>
  <si>
    <t>Dell Precision 5540</t>
  </si>
  <si>
    <t>Broken hinges; attempted to be superglued</t>
  </si>
  <si>
    <t>Acer C731 Series</t>
  </si>
  <si>
    <t>Acer</t>
  </si>
  <si>
    <t>Arc Linux Minecraft Installed</t>
  </si>
  <si>
    <t>DESKTOPS</t>
  </si>
  <si>
    <t>Dell Optiplex 7040</t>
  </si>
  <si>
    <t>Vanilla OS installs but can't boot to it - has SSD</t>
  </si>
  <si>
    <t>Windows 11 installed (somehow, it shouldn't work bc tpm 1.2) should be fully working but needs to be tested</t>
  </si>
  <si>
    <t>Boot issues (no boot device found after installation)</t>
  </si>
  <si>
    <t>Dell Precision Tower 3420</t>
  </si>
  <si>
    <t>Being used as a 2.5" SSD eraser; Tal accidentally ripped the sata power port off the motherboard, so if it doesn't work that's why</t>
  </si>
  <si>
    <t>Has SSD, no bootable device found</t>
  </si>
  <si>
    <t>Dell Optiplex 9020</t>
  </si>
  <si>
    <t>Dell Optiplex 7050</t>
  </si>
  <si>
    <t>Done???</t>
  </si>
  <si>
    <t>Needs SSD and OS install</t>
  </si>
  <si>
    <t>Dell Optiplex 960</t>
  </si>
  <si>
    <t>Dell Optiplex 5060</t>
  </si>
  <si>
    <t>Ram switched out</t>
  </si>
  <si>
    <t>Dell Precision T3600</t>
  </si>
  <si>
    <t>No OS, needs Vanilla; Ready to install</t>
  </si>
  <si>
    <t>Dell Precision 7920</t>
  </si>
  <si>
    <t>Dell Precision 5810</t>
  </si>
  <si>
    <t>Dell Precision 5820</t>
  </si>
  <si>
    <t>HP Ryzen 4000 Desktop</t>
  </si>
  <si>
    <t>Dell OptiPlex 5050 Micro</t>
  </si>
  <si>
    <t>Installed SSD</t>
  </si>
  <si>
    <t>Vanilla OS installed, needs to go through out-of-box experience</t>
  </si>
  <si>
    <t>Dell Inspiron D16M001</t>
  </si>
  <si>
    <t>Asus Chromebox CN60</t>
  </si>
  <si>
    <t>Asus</t>
  </si>
  <si>
    <t>has like 4 Vanilla installations</t>
  </si>
  <si>
    <t>Asus Chromebox Thin Client 3</t>
  </si>
  <si>
    <t>Doesnt display video</t>
  </si>
  <si>
    <t>Dell Precision T7810</t>
  </si>
  <si>
    <t>"No bootable devices" still a problem</t>
  </si>
  <si>
    <t>HP EliteDesk 800 G4 TWR</t>
  </si>
  <si>
    <t>CoolerMaster custom build</t>
  </si>
  <si>
    <t>CoolerMaster</t>
  </si>
  <si>
    <t>Lenovo ThinkCentre M700</t>
  </si>
  <si>
    <t>HP ProDesk 400 G5 Desktop Mini</t>
  </si>
  <si>
    <t>HP ProDesk 600 G3 Desktop Mini</t>
  </si>
  <si>
    <t>Zotac Mini PC ZBox-CI323NANO</t>
  </si>
  <si>
    <t>Zotac</t>
  </si>
  <si>
    <t>Has Vanilla OS, can discover eduroam but not rhit open, ethernet works</t>
  </si>
  <si>
    <t>HP ProDesk 600 G5 Desktop Mini</t>
  </si>
  <si>
    <t>HP Z2 Mini G5 Workstation</t>
  </si>
  <si>
    <t>Needs power supply; expensive!!!! MXM P620</t>
  </si>
  <si>
    <t>Dell Optiplex 7070 micro</t>
  </si>
  <si>
    <t>Needs to play dugdug video, make clinky when moved</t>
  </si>
  <si>
    <t>TABLETS</t>
  </si>
  <si>
    <t>Apple iPad A1397</t>
  </si>
  <si>
    <t>Wifi + Cellular, Cracked screen</t>
  </si>
  <si>
    <t>Yes</t>
  </si>
  <si>
    <t>Wifi + Cellular</t>
  </si>
  <si>
    <t>READY TO DONATE</t>
  </si>
  <si>
    <t>Item</t>
  </si>
  <si>
    <t>Type of Device</t>
  </si>
  <si>
    <t>Est. Year</t>
  </si>
  <si>
    <t>CPU</t>
  </si>
  <si>
    <t>OS</t>
  </si>
  <si>
    <t>RAM Amount</t>
  </si>
  <si>
    <t>RAM Generation</t>
  </si>
  <si>
    <t>Storage</t>
  </si>
  <si>
    <t>SSD/HDD</t>
  </si>
  <si>
    <t>Est. Value</t>
  </si>
  <si>
    <t>Notes</t>
  </si>
  <si>
    <t>Lenovo Thinkcenter E73</t>
  </si>
  <si>
    <t>Desktop</t>
  </si>
  <si>
    <t>Intel i3-4130</t>
  </si>
  <si>
    <t>Vanilla OS</t>
  </si>
  <si>
    <t>DDR3</t>
  </si>
  <si>
    <t>SSD</t>
  </si>
  <si>
    <t>Dell Inspiron 15 3552</t>
  </si>
  <si>
    <t>Laptop</t>
  </si>
  <si>
    <t>Inspiron 15-3552</t>
  </si>
  <si>
    <t>Asus Chromebox Thin Cilent 3</t>
  </si>
  <si>
    <t>Intel Celeron 3865U</t>
  </si>
  <si>
    <t>DDR4</t>
  </si>
  <si>
    <t>intel core i3-7100</t>
  </si>
  <si>
    <t>Intel core i3-7100</t>
  </si>
  <si>
    <t>Lenovo ThinkCentre M625q</t>
  </si>
  <si>
    <t>AMD A9-9420e</t>
  </si>
  <si>
    <t>Dell Latitude 5510</t>
  </si>
  <si>
    <t>Intel Core i7-10610U</t>
  </si>
  <si>
    <t>Windows 11</t>
  </si>
  <si>
    <t>Dell Inspiron 3847</t>
  </si>
  <si>
    <t>Intel Core i3-4170</t>
  </si>
  <si>
    <t>Dell Latitude 5490</t>
  </si>
  <si>
    <t>Intel Core i7-8650U</t>
  </si>
  <si>
    <t>Dell Inspiron 15 3537</t>
  </si>
  <si>
    <t>Intel Core i3 ULV (4th generation)</t>
  </si>
  <si>
    <t>Dell Latitude 5410</t>
  </si>
  <si>
    <t>Intel Core i5-10210U</t>
  </si>
  <si>
    <t>MacBook Pro A1502</t>
  </si>
  <si>
    <t>2.6 GHz Dual-Core Intel Core i5</t>
  </si>
  <si>
    <t>macOS</t>
  </si>
  <si>
    <t>HP ProBook 450 G6</t>
  </si>
  <si>
    <t>Intel Core i5-8265U</t>
  </si>
  <si>
    <t>HP ProBook 450 G8</t>
  </si>
  <si>
    <t>Intel Core i5-1135G7</t>
  </si>
  <si>
    <t>Intel Core i7-6700</t>
  </si>
  <si>
    <t>HP Elitebook 850 G6</t>
  </si>
  <si>
    <t>Intel Core i7-8565U</t>
  </si>
  <si>
    <t>HP ProBook 650 G3</t>
  </si>
  <si>
    <t>Intel Core i5-7300u</t>
  </si>
  <si>
    <t>Intel Core i7-4770</t>
  </si>
  <si>
    <t>Dell Latitude 5580</t>
  </si>
  <si>
    <t>Intel Core i7-7820</t>
  </si>
  <si>
    <t>Donated Devices</t>
  </si>
  <si>
    <t>Total Estimated Value</t>
  </si>
  <si>
    <t>International donations:</t>
  </si>
  <si>
    <t>Date Donated</t>
  </si>
  <si>
    <t>Recipient</t>
  </si>
  <si>
    <t>Untracked Laptop given to Tarrant</t>
  </si>
  <si>
    <t>International, via Wayne Tarrant</t>
  </si>
  <si>
    <t>Dell Latitude 5500</t>
  </si>
  <si>
    <t>Intel core i7-8665U</t>
  </si>
  <si>
    <t>HP 15-AC113CL</t>
  </si>
  <si>
    <t>Intel core i3-5005U</t>
  </si>
  <si>
    <t>Toshiba Satellite C55-B5296</t>
  </si>
  <si>
    <t>Intel Celeron N2830</t>
  </si>
  <si>
    <t>Low battery health</t>
  </si>
  <si>
    <t>HP EliteBook 850 G6</t>
  </si>
  <si>
    <t>Intel core i7-8565U</t>
  </si>
  <si>
    <t>Dell Latitude 5420</t>
  </si>
  <si>
    <t>Intel core i5-1145G7</t>
  </si>
  <si>
    <t>Apple iPad Mini A1455</t>
  </si>
  <si>
    <t>Tablet</t>
  </si>
  <si>
    <t>N/A</t>
  </si>
  <si>
    <t>iOS</t>
  </si>
  <si>
    <t>DDR2</t>
  </si>
  <si>
    <t>Flash Storage</t>
  </si>
  <si>
    <t>WiFi + Cellular</t>
  </si>
  <si>
    <t>Apple iPad Air 2 A1566</t>
  </si>
  <si>
    <t>Dell OptiPlex 5060</t>
  </si>
  <si>
    <t>Intel core i5-8500</t>
  </si>
  <si>
    <t>No wifi, Ethernet only</t>
  </si>
  <si>
    <t>The Learning Center, Terre Haute</t>
  </si>
  <si>
    <t>Intel core i7-4770</t>
  </si>
  <si>
    <t>Wifi included</t>
  </si>
  <si>
    <t>Intel i7-6700</t>
  </si>
  <si>
    <t>built in ethernet doesn't work. Donate with usb-wifi adapter</t>
  </si>
  <si>
    <t>International, via Dr. Onyancha</t>
  </si>
  <si>
    <t>Dell Optiplex 9010</t>
  </si>
  <si>
    <t>Intel i7-3770</t>
  </si>
  <si>
    <t>Intel i7-4770</t>
  </si>
  <si>
    <t>ThinkPad P1 Gen 1</t>
  </si>
  <si>
    <t>Intel i7 10750H</t>
  </si>
  <si>
    <t>Intel i3-7100</t>
  </si>
  <si>
    <t>HDD</t>
  </si>
  <si>
    <t>ThinkPad P1 Gen 3</t>
  </si>
  <si>
    <t>Intel  i7-865OU</t>
  </si>
  <si>
    <t>Given to Enzo at NU, for Deborah's Place</t>
  </si>
  <si>
    <t>Wabash Activity Center</t>
  </si>
  <si>
    <t>y</t>
  </si>
  <si>
    <t>Type</t>
  </si>
  <si>
    <t>Description</t>
  </si>
  <si>
    <t>Qty</t>
  </si>
  <si>
    <t>Donated?</t>
  </si>
  <si>
    <t>Value</t>
  </si>
  <si>
    <t>SATA SSD</t>
  </si>
  <si>
    <t>Y</t>
  </si>
  <si>
    <t>M2 SSD</t>
  </si>
  <si>
    <t>SODIMM</t>
  </si>
  <si>
    <t>1GB DDR3</t>
  </si>
  <si>
    <t>2GB DDR4</t>
  </si>
  <si>
    <t>2GB DDR3</t>
  </si>
  <si>
    <t>8GB DDR4</t>
  </si>
  <si>
    <t>N</t>
  </si>
  <si>
    <t>8GB DDR3</t>
  </si>
  <si>
    <t>4GB DDR4</t>
  </si>
  <si>
    <t>4GB DDR3</t>
  </si>
  <si>
    <t>DIMM</t>
  </si>
  <si>
    <t>16GB DDR4</t>
  </si>
  <si>
    <t>GPU</t>
  </si>
  <si>
    <t>Nvidia P1000</t>
  </si>
  <si>
    <t>TOOLS</t>
  </si>
  <si>
    <t>Name</t>
  </si>
  <si>
    <t>iFixit Moray Kit (complete)</t>
  </si>
  <si>
    <t>Screwdriver Kit</t>
  </si>
  <si>
    <t>iFixit Pro Tech Toolkit (complete)</t>
  </si>
  <si>
    <t>iFixit Magnetic Screw Organizer</t>
  </si>
  <si>
    <t>Screw Organizer</t>
  </si>
  <si>
    <t>Magnetic Parts Tray</t>
  </si>
  <si>
    <t>Anker Power Strip</t>
  </si>
  <si>
    <t>Power Strip</t>
  </si>
  <si>
    <t>Generic Power Strip</t>
  </si>
  <si>
    <t>USB A to Ethernet</t>
  </si>
  <si>
    <t>Adapter</t>
  </si>
  <si>
    <t>Duster</t>
  </si>
  <si>
    <t>Miscellaneous</t>
  </si>
  <si>
    <t>USB Drive</t>
  </si>
  <si>
    <t>Goo Gone</t>
  </si>
  <si>
    <t>Cleaning Supplies</t>
  </si>
  <si>
    <t>Isopropyl Alcohol</t>
  </si>
  <si>
    <t>USB Wifi Adapter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</si>
</sst>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00000"/>
    <numFmt numFmtId="165" formatCode="&quot;$&quot;#,##0.00"/>
  </numFmts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0E6F5"/>
        <bgColor rgb="FFC0E6F5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6" fontId="0" fillId="0" borderId="0" xfId="0" applyNumberFormat="1"/>
    <xf numFmtId="6" fontId="0" fillId="0" borderId="0" xfId="0" applyNumberFormat="1" applyAlignment="1">
      <alignment wrapText="1"/>
    </xf>
    <xf numFmtId="0" fontId="3" fillId="3" borderId="4" xfId="0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wrapText="1"/>
    </xf>
    <xf numFmtId="14" fontId="3" fillId="3" borderId="6" xfId="0" applyNumberFormat="1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0" borderId="5" xfId="0" applyFont="1" applyBorder="1" applyAlignment="1">
      <alignment wrapText="1"/>
    </xf>
    <xf numFmtId="14" fontId="3" fillId="0" borderId="6" xfId="0" applyNumberFormat="1" applyFont="1" applyBorder="1"/>
    <xf numFmtId="164" fontId="0" fillId="0" borderId="0" xfId="0" applyNumberFormat="1"/>
    <xf numFmtId="164" fontId="3" fillId="3" borderId="5" xfId="0" applyNumberFormat="1" applyFont="1" applyFill="1" applyBorder="1"/>
    <xf numFmtId="164" fontId="3" fillId="0" borderId="5" xfId="0" applyNumberFormat="1" applyFont="1" applyBorder="1"/>
    <xf numFmtId="14" fontId="0" fillId="0" borderId="0" xfId="0" applyNumberFormat="1" applyAlignment="1">
      <alignment wrapText="1"/>
    </xf>
    <xf numFmtId="14" fontId="0" fillId="0" borderId="0" xfId="0" applyNumberFormat="1"/>
    <xf numFmtId="0" fontId="1" fillId="2" borderId="3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165" fontId="0" fillId="0" borderId="0" xfId="0" applyNumberFormat="1"/>
    <xf numFmtId="165" fontId="1" fillId="2" borderId="0" xfId="0" applyNumberFormat="1" applyFont="1" applyFill="1" applyAlignment="1">
      <alignment horizontal="center" wrapText="1"/>
    </xf>
    <xf numFmtId="165" fontId="0" fillId="0" borderId="0" xfId="0" applyNumberFormat="1" applyAlignment="1">
      <alignment wrapText="1"/>
    </xf>
    <xf numFmtId="14" fontId="1" fillId="2" borderId="0" xfId="0" applyNumberFormat="1" applyFont="1" applyFill="1" applyAlignment="1">
      <alignment horizontal="center" wrapText="1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27">
    <dxf>
      <numFmt numFmtId="165" formatCode="&quot;$&quot;#,##0.00"/>
    </dxf>
    <dxf>
      <alignment horizontal="right" vertical="bottom" textRotation="0" wrapText="0" indent="0" justifyLastLine="0" shrinkToFit="0" readingOrder="0"/>
    </dxf>
    <dxf>
      <numFmt numFmtId="19" formatCode="m/d/yyyy"/>
      <alignment horizontal="general" vertical="bottom" textRotation="0" wrapText="1" indent="0" justifyLastLine="0" shrinkToFit="0" readingOrder="0"/>
    </dxf>
    <dxf>
      <numFmt numFmtId="165" formatCode="&quot;$&quot;#,##0.00"/>
    </dxf>
    <dxf>
      <border outline="0">
        <top style="thin">
          <color theme="4" tint="0.39997558519241921"/>
        </top>
      </border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7" tint="0.79998168889431442"/>
        </patternFill>
      </fill>
    </dxf>
    <dxf>
      <font>
        <color theme="1"/>
      </font>
      <fill>
        <patternFill patternType="solid">
          <bgColor theme="7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0"/>
        </patternFill>
      </fill>
    </dxf>
    <dxf>
      <alignment horizontal="general" vertical="bottom" textRotation="0" wrapText="1" indent="0" justifyLastLine="0" shrinkToFit="0" readingOrder="0"/>
    </dxf>
    <dxf>
      <numFmt numFmtId="165" formatCode="&quot;$&quot;#,##0.00"/>
    </dxf>
    <dxf>
      <border outline="0">
        <top style="thin">
          <color theme="4" tint="0.39997558519241921"/>
        </top>
      </border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0"/>
        </patternFill>
      </fill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0"/>
        </patternFill>
      </fill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7" tint="0.79998168889431442"/>
        </patternFill>
      </fill>
    </dxf>
    <dxf>
      <font>
        <color theme="1"/>
      </font>
      <fill>
        <patternFill patternType="solid">
          <bgColor theme="0"/>
        </patternFill>
      </fill>
      <border>
        <bottom style="thin">
          <color rgb="FF000000"/>
        </bottom>
      </border>
    </dxf>
    <dxf>
      <alignment horizontal="general" vertical="bottom" textRotation="0" wrapText="1" indent="0" justifyLastLine="0" shrinkToFit="0" readingOrder="0"/>
    </dxf>
    <dxf>
      <numFmt numFmtId="164" formatCode="00000"/>
    </dxf>
    <dxf>
      <font>
        <color theme="1"/>
      </font>
      <fill>
        <patternFill patternType="solid">
          <bgColor theme="7" tint="0.79998168889431442"/>
        </patternFill>
      </fill>
    </dxf>
    <dxf>
      <font>
        <color theme="1"/>
      </font>
      <fill>
        <patternFill patternType="solid">
          <bgColor theme="0"/>
        </patternFill>
      </fill>
      <border>
        <bottom style="thin">
          <color rgb="FF000000"/>
        </bottom>
      </border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A14D1D-80BB-4248-9A8B-692D6686C6DC}" name="In_Progress" displayName="In_Progress" ref="A2:J39">
  <autoFilter ref="A2:J39" xr:uid="{45A14D1D-80BB-4248-9A8B-692D6686C6DC}"/>
  <sortState xmlns:xlrd2="http://schemas.microsoft.com/office/spreadsheetml/2017/richdata2" ref="A3:J16">
    <sortCondition ref="B2:B16"/>
  </sortState>
  <tableColumns count="10">
    <tableColumn id="1" xr3:uid="{ED14BD60-C1E9-46C1-80A5-0D5E395AF078}" name="Item Name" totalsRowLabel="Total"/>
    <tableColumn id="13" xr3:uid="{5BEE40AD-E450-4A13-BFB5-1D0CED084DB3}" name="ID"/>
    <tableColumn id="8" xr3:uid="{E9AB9B46-3541-4715-8E5B-024096D78342}" name="Manufacturer"/>
    <tableColumn id="9" xr3:uid="{F7DAC8DD-8096-40F1-8780-1DB9CB4EC72F}" name="Year released"/>
    <tableColumn id="4" xr3:uid="{C5D14689-5BE8-4F27-9815-298E6CAC6990}" name="Special Reqs/Notes" dataDxfId="26"/>
    <tableColumn id="5" xr3:uid="{5338F6FB-43B0-44AF-AF8B-542FAC6CEDF0}" name="Charger"/>
    <tableColumn id="6" xr3:uid="{64D6C993-8518-4A7C-9BDA-A54D7DBFBA8E}" name="Working Battery"/>
    <tableColumn id="7" xr3:uid="{E5D987A3-C54A-4907-B710-79DB224E0008}" name="Current Status" totalsRowFunction="count"/>
    <tableColumn id="14" xr3:uid="{CBD4AC90-B0AA-4722-BB52-11B8B47FEEAF}" name="Date Updated"/>
    <tableColumn id="2" xr3:uid="{FA824550-7946-45DC-83FC-FF24AB7D40C1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B9E2046-2B17-40F3-B52D-EAF68E47122D}" name="In_Progress8" displayName="In_Progress8" ref="A2:G63">
  <autoFilter ref="A2:G63" xr:uid="{45A14D1D-80BB-4248-9A8B-692D6686C6DC}"/>
  <sortState xmlns:xlrd2="http://schemas.microsoft.com/office/spreadsheetml/2017/richdata2" ref="A3:G63">
    <sortCondition ref="B2:B63"/>
  </sortState>
  <tableColumns count="7">
    <tableColumn id="1" xr3:uid="{F96A3CC8-25D1-4CF8-877D-2816B26B7DC4}" name="Item Name" totalsRowLabel="Total"/>
    <tableColumn id="13" xr3:uid="{CC95B79B-E9C6-4478-8268-7B5E0708443A}" name="ID" dataDxfId="23"/>
    <tableColumn id="8" xr3:uid="{7D8F815E-A974-42A8-AC0B-AB8B951599A2}" name="Manufacturer"/>
    <tableColumn id="9" xr3:uid="{FEA94C75-B538-448A-A9F5-46F5A27E863D}" name="Year released"/>
    <tableColumn id="4" xr3:uid="{24998D92-36B7-4553-81E7-CB33711B31BB}" name="Special Reqs/Notes"/>
    <tableColumn id="7" xr3:uid="{88E5440D-0044-419E-A388-E2B7764154FF}" name="Current Status" totalsRowFunction="count"/>
    <tableColumn id="14" xr3:uid="{09369CC3-DE3D-4FB7-B9F3-6CECCCD38F45}" name="Date Updat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387A264-FBB2-4483-BD6C-20083CB96D51}" name="In_Progress10" displayName="In_Progress10" ref="A2:I33">
  <autoFilter ref="A2:I33" xr:uid="{45A14D1D-80BB-4248-9A8B-692D6686C6DC}"/>
  <sortState xmlns:xlrd2="http://schemas.microsoft.com/office/spreadsheetml/2017/richdata2" ref="A3:I33">
    <sortCondition ref="B2:B33"/>
  </sortState>
  <tableColumns count="9">
    <tableColumn id="1" xr3:uid="{9A94D8DC-B148-4CF0-A23B-2C420B52C35D}" name="Item Name" totalsRowLabel="Total"/>
    <tableColumn id="13" xr3:uid="{EFFF3477-1A58-41CD-BFF3-45CE299505A7}" name="ID"/>
    <tableColumn id="8" xr3:uid="{C694899F-E385-4DE2-972A-7395A9633019}" name="Manufacturer"/>
    <tableColumn id="9" xr3:uid="{13C54556-A90A-4F9C-800D-3D838462DF46}" name="Year released"/>
    <tableColumn id="4" xr3:uid="{EB0C81D5-20B7-428A-9A74-64C6C59A39B6}" name="Special Reqs/Notes" dataDxfId="22"/>
    <tableColumn id="5" xr3:uid="{6DE19FBC-9BD8-456E-9FC5-F633F61E4A34}" name="Charger"/>
    <tableColumn id="6" xr3:uid="{68546225-0A78-43C1-A4F9-4D2E1DC008A3}" name="Working Battery"/>
    <tableColumn id="7" xr3:uid="{0D7FD365-4F73-4A57-B8A1-CFAC47267923}" name="Current Status" totalsRowFunction="count"/>
    <tableColumn id="14" xr3:uid="{918BAA47-80F0-456D-86C2-131B7D893353}" name="Date Updat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92D5D5D-191C-4D78-B08D-0ABFBE06D7B2}" name="Ready_To_Donate7" displayName="Ready_To_Donate7" ref="A2:L33" totalsRowShown="0" tableBorderDxfId="13">
  <autoFilter ref="A2:L33" xr:uid="{D92D5D5D-191C-4D78-B08D-0ABFBE06D7B2}"/>
  <tableColumns count="12">
    <tableColumn id="1" xr3:uid="{73648E04-2EA1-4ADB-8E24-E7DDE01C0462}" name="Item"/>
    <tableColumn id="10" xr3:uid="{2C0BEEB0-DF56-4C3E-A199-8338A12BCED4}" name="Type of Device"/>
    <tableColumn id="3" xr3:uid="{6E6AE907-D46F-4E72-8A6E-4086D6ED467F}" name="Est. Year"/>
    <tableColumn id="4" xr3:uid="{21962421-D6C5-44DF-8B4E-CE81A5E85189}" name="CPU"/>
    <tableColumn id="5" xr3:uid="{CA276052-8A68-41FA-B502-833DDEE2F0F8}" name="OS"/>
    <tableColumn id="6" xr3:uid="{38C5F018-4493-43C4-9328-52082FCC36C1}" name="RAM Amount"/>
    <tableColumn id="2" xr3:uid="{C85B34EB-06B2-40A8-BBCB-B5F170EF3F82}" name="RAM Generation"/>
    <tableColumn id="7" xr3:uid="{A686D1B3-031E-4544-A98D-8F3144FA62B0}" name="Storage"/>
    <tableColumn id="8" xr3:uid="{AB29939A-0AF4-4451-A6F4-2144F8957E73}" name="SSD/HDD"/>
    <tableColumn id="11" xr3:uid="{80B69989-1A34-4B32-B100-006B113A12B3}" name="Est. Value" dataDxfId="12"/>
    <tableColumn id="9" xr3:uid="{46DBF7E9-A65E-495E-A2E7-C18169DE9637}" name="Notes" dataDxfId="11"/>
    <tableColumn id="12" xr3:uid="{67EC036F-98F6-4C6B-BDD7-99DB9B6ADF97}" name="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100501-D05A-423B-A036-4B5D9B2ECD20}" name="Ready_To_Donate" displayName="Ready_To_Donate" ref="A2:M59" totalsRowShown="0" tableBorderDxfId="4">
  <autoFilter ref="A2:M59" xr:uid="{06396574-0271-4522-ADDB-9465953585FF}"/>
  <tableColumns count="13">
    <tableColumn id="1" xr3:uid="{549BC727-085C-45F5-9520-711A34B50F51}" name="Item"/>
    <tableColumn id="11" xr3:uid="{3C98AC72-613E-4EC8-8310-F9E3ED18CC90}" name="Type of Device"/>
    <tableColumn id="3" xr3:uid="{50863EE7-CAD0-400D-9B34-779EE33CD648}" name="Est. Year"/>
    <tableColumn id="4" xr3:uid="{00F5359B-A50E-41FF-A2BF-D2260FFBD06C}" name="CPU"/>
    <tableColumn id="5" xr3:uid="{B2D873F2-431E-43E8-96DC-0380E528EA00}" name="OS"/>
    <tableColumn id="6" xr3:uid="{67FB40A4-BE9A-4206-AF76-C81A6385AAC3}" name="RAM Amount"/>
    <tableColumn id="13" xr3:uid="{A9DF335A-A163-4AA9-8879-B5B359D716CC}" name="RAM Generation"/>
    <tableColumn id="7" xr3:uid="{03AC00D8-5308-407D-9BAC-3303A2B380B3}" name="Storage"/>
    <tableColumn id="8" xr3:uid="{CFFC1B93-1DA0-40C5-BC8E-01F5CAD8DB66}" name="SSD/HDD"/>
    <tableColumn id="10" xr3:uid="{71AF2E6E-D071-4784-865B-CA65E73CD28D}" name="Est. Value" dataDxfId="3"/>
    <tableColumn id="12" xr3:uid="{EFA4DB39-7CD3-4AA7-9335-2FEE3F14CF55}" name="Notes"/>
    <tableColumn id="9" xr3:uid="{2DC095C6-494B-405F-9E1B-C8849C64E6F1}" name="Date Donated" dataDxfId="2"/>
    <tableColumn id="2" xr3:uid="{77D1B06F-E180-45FD-ACE9-4BA0C5955E95}" name="Recipi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27EC0E-CEEE-4641-ADD0-AA27230F7EC3}" name="Parts5" displayName="Parts5" ref="A2:E19" totalsRowShown="0">
  <autoFilter ref="A2:E19" xr:uid="{56EE61A1-6164-4CDE-8E4E-0C4F2D11BFE3}"/>
  <tableColumns count="5">
    <tableColumn id="1" xr3:uid="{A07F4B01-C838-4D46-AE29-85BAC951AA36}" name="Type"/>
    <tableColumn id="3" xr3:uid="{9AC978C2-FD83-43AA-9C69-BC026B4E6411}" name="Description"/>
    <tableColumn id="4" xr3:uid="{9B2129F6-659A-4DD2-94CF-8EC39B827718}" name="Qty"/>
    <tableColumn id="5" xr3:uid="{C24221AA-BF54-4384-AC51-1C5D1D76BE99}" name="Donated?" dataDxfId="1"/>
    <tableColumn id="2" xr3:uid="{1B36C5CD-E753-4327-9D04-48D37AAB944F}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21E586-F6B8-46BF-BE64-CE91A4EEE8D6}" name="Parts56" displayName="Parts56" ref="A2:D34" totalsRowShown="0">
  <autoFilter ref="A2:D34" xr:uid="{56EE61A1-6164-4CDE-8E4E-0C4F2D11BFE3}"/>
  <tableColumns count="4">
    <tableColumn id="1" xr3:uid="{C29E963F-354B-4750-B17F-22461F6DC5F4}" name="Name"/>
    <tableColumn id="3" xr3:uid="{7C7B0B32-2D9C-4EDB-8E56-4C2ADECB5869}" name="Type"/>
    <tableColumn id="2" xr3:uid="{1155C0CA-025A-4922-8B0E-F2A817B3BB60}" name="Qty"/>
    <tableColumn id="8" xr3:uid="{D743202E-D377-4920-815B-09F9ED9CC36B}" name="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A6A1-7D43-4966-8813-F497D895A5C2}">
  <dimension ref="A1:J39"/>
  <sheetViews>
    <sheetView topLeftCell="A3" workbookViewId="0">
      <selection activeCell="A25" sqref="A25"/>
    </sheetView>
  </sheetViews>
  <sheetFormatPr defaultRowHeight="14.45"/>
  <cols>
    <col min="1" max="1" width="33.28515625" customWidth="1"/>
    <col min="2" max="2" width="6.140625" customWidth="1"/>
    <col min="3" max="3" width="14.28515625" bestFit="1" customWidth="1"/>
    <col min="4" max="4" width="14.42578125" bestFit="1" customWidth="1"/>
    <col min="5" max="5" width="35.5703125" customWidth="1"/>
    <col min="6" max="6" width="12.42578125" customWidth="1"/>
    <col min="7" max="7" width="19.42578125" customWidth="1"/>
    <col min="8" max="8" width="15.140625" bestFit="1" customWidth="1"/>
    <col min="9" max="9" width="14.7109375" bestFit="1" customWidth="1"/>
  </cols>
  <sheetData>
    <row r="1" spans="1:10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>
      <c r="E3" s="1"/>
      <c r="I3" s="16"/>
    </row>
    <row r="4" spans="1:10">
      <c r="A4" t="s">
        <v>11</v>
      </c>
      <c r="B4">
        <v>58</v>
      </c>
      <c r="C4" t="s">
        <v>12</v>
      </c>
      <c r="D4">
        <v>2019</v>
      </c>
      <c r="E4" s="1" t="s">
        <v>13</v>
      </c>
      <c r="F4" t="s">
        <v>14</v>
      </c>
      <c r="H4" t="s">
        <v>15</v>
      </c>
      <c r="I4" s="16">
        <v>46045</v>
      </c>
    </row>
    <row r="5" spans="1:10">
      <c r="E5" s="1"/>
      <c r="I5" s="16"/>
    </row>
    <row r="6" spans="1:10">
      <c r="A6" t="s">
        <v>16</v>
      </c>
      <c r="B6">
        <v>62</v>
      </c>
      <c r="C6" t="s">
        <v>17</v>
      </c>
      <c r="D6">
        <v>2010</v>
      </c>
      <c r="E6" s="1" t="s">
        <v>18</v>
      </c>
      <c r="F6" t="s">
        <v>14</v>
      </c>
      <c r="H6" t="s">
        <v>15</v>
      </c>
      <c r="I6" s="16">
        <v>45673</v>
      </c>
    </row>
    <row r="7" spans="1:10">
      <c r="A7" t="s">
        <v>19</v>
      </c>
      <c r="B7">
        <v>64</v>
      </c>
      <c r="C7" t="s">
        <v>20</v>
      </c>
      <c r="D7">
        <v>2010</v>
      </c>
      <c r="E7" s="1"/>
      <c r="F7" t="s">
        <v>14</v>
      </c>
      <c r="H7" t="s">
        <v>21</v>
      </c>
      <c r="I7" s="16">
        <v>46001</v>
      </c>
      <c r="J7" t="s">
        <v>22</v>
      </c>
    </row>
    <row r="8" spans="1:10">
      <c r="A8" t="s">
        <v>23</v>
      </c>
      <c r="B8">
        <v>66</v>
      </c>
      <c r="C8" t="s">
        <v>20</v>
      </c>
      <c r="D8">
        <v>2020</v>
      </c>
      <c r="E8" s="1"/>
      <c r="F8" t="s">
        <v>14</v>
      </c>
      <c r="H8" t="s">
        <v>21</v>
      </c>
      <c r="I8" s="16">
        <v>46001</v>
      </c>
    </row>
    <row r="9" spans="1:10">
      <c r="A9" t="s">
        <v>24</v>
      </c>
      <c r="B9">
        <v>67</v>
      </c>
      <c r="C9" t="s">
        <v>17</v>
      </c>
      <c r="D9">
        <v>2013</v>
      </c>
      <c r="E9" s="1"/>
      <c r="F9" t="s">
        <v>25</v>
      </c>
      <c r="H9" t="s">
        <v>21</v>
      </c>
      <c r="I9" s="16">
        <v>46001</v>
      </c>
    </row>
    <row r="10" spans="1:10">
      <c r="A10" t="s">
        <v>26</v>
      </c>
      <c r="B10">
        <v>69</v>
      </c>
      <c r="C10" t="s">
        <v>17</v>
      </c>
      <c r="D10">
        <v>2014</v>
      </c>
      <c r="E10" s="1"/>
      <c r="F10" t="s">
        <v>14</v>
      </c>
      <c r="H10" t="s">
        <v>21</v>
      </c>
      <c r="I10" s="16">
        <v>46001</v>
      </c>
    </row>
    <row r="11" spans="1:10">
      <c r="A11" t="s">
        <v>27</v>
      </c>
      <c r="B11">
        <v>70</v>
      </c>
      <c r="C11" t="s">
        <v>28</v>
      </c>
      <c r="D11">
        <v>2012</v>
      </c>
      <c r="E11" s="1"/>
      <c r="F11" t="s">
        <v>25</v>
      </c>
      <c r="H11" t="s">
        <v>21</v>
      </c>
      <c r="I11" s="16">
        <v>46001</v>
      </c>
    </row>
    <row r="12" spans="1:10">
      <c r="A12" t="s">
        <v>29</v>
      </c>
      <c r="B12">
        <v>71</v>
      </c>
      <c r="C12" t="s">
        <v>30</v>
      </c>
      <c r="D12">
        <v>2016</v>
      </c>
      <c r="E12" s="1"/>
      <c r="F12" t="s">
        <v>25</v>
      </c>
      <c r="H12" t="s">
        <v>21</v>
      </c>
      <c r="I12" s="16">
        <v>46001</v>
      </c>
    </row>
    <row r="13" spans="1:10" ht="28.9">
      <c r="A13" t="s">
        <v>31</v>
      </c>
      <c r="B13">
        <v>72</v>
      </c>
      <c r="C13" t="s">
        <v>28</v>
      </c>
      <c r="D13">
        <v>2011</v>
      </c>
      <c r="E13" s="1" t="s">
        <v>32</v>
      </c>
      <c r="F13" t="s">
        <v>14</v>
      </c>
      <c r="H13" t="s">
        <v>15</v>
      </c>
      <c r="I13" s="16">
        <v>46038</v>
      </c>
    </row>
    <row r="14" spans="1:10">
      <c r="A14" t="s">
        <v>33</v>
      </c>
      <c r="B14">
        <v>73</v>
      </c>
      <c r="C14" t="s">
        <v>12</v>
      </c>
      <c r="D14">
        <v>2023</v>
      </c>
      <c r="E14" s="1" t="s">
        <v>34</v>
      </c>
      <c r="F14" t="s">
        <v>14</v>
      </c>
      <c r="G14" t="s">
        <v>35</v>
      </c>
      <c r="H14" t="s">
        <v>15</v>
      </c>
      <c r="I14" s="16">
        <v>46001</v>
      </c>
    </row>
    <row r="15" spans="1:10" ht="43.15">
      <c r="A15" t="s">
        <v>36</v>
      </c>
      <c r="B15">
        <v>76</v>
      </c>
      <c r="C15" t="s">
        <v>37</v>
      </c>
      <c r="D15">
        <v>2011</v>
      </c>
      <c r="E15" s="1" t="s">
        <v>38</v>
      </c>
      <c r="F15" t="s">
        <v>14</v>
      </c>
      <c r="H15" t="s">
        <v>15</v>
      </c>
      <c r="I15" s="16">
        <v>46101</v>
      </c>
    </row>
    <row r="16" spans="1:10">
      <c r="A16" t="s">
        <v>39</v>
      </c>
      <c r="B16">
        <v>77</v>
      </c>
      <c r="C16" t="s">
        <v>37</v>
      </c>
      <c r="D16">
        <v>2018</v>
      </c>
      <c r="E16" s="1"/>
      <c r="F16" t="s">
        <v>14</v>
      </c>
      <c r="H16" t="s">
        <v>21</v>
      </c>
      <c r="I16" s="16">
        <v>46001</v>
      </c>
    </row>
    <row r="17" spans="1:9" ht="28.9">
      <c r="A17" t="s">
        <v>40</v>
      </c>
      <c r="B17">
        <v>116</v>
      </c>
      <c r="C17" t="s">
        <v>37</v>
      </c>
      <c r="D17">
        <v>2020</v>
      </c>
      <c r="E17" s="1" t="s">
        <v>41</v>
      </c>
      <c r="F17" t="s">
        <v>14</v>
      </c>
      <c r="H17" t="s">
        <v>15</v>
      </c>
      <c r="I17" s="16">
        <v>46094</v>
      </c>
    </row>
    <row r="18" spans="1:9">
      <c r="A18" t="s">
        <v>42</v>
      </c>
      <c r="B18">
        <v>118</v>
      </c>
      <c r="C18" t="s">
        <v>12</v>
      </c>
      <c r="D18">
        <v>2020</v>
      </c>
      <c r="E18" s="1"/>
      <c r="F18" t="s">
        <v>25</v>
      </c>
      <c r="H18" t="s">
        <v>21</v>
      </c>
      <c r="I18" s="16">
        <v>46094</v>
      </c>
    </row>
    <row r="19" spans="1:9">
      <c r="A19" t="s">
        <v>43</v>
      </c>
      <c r="B19">
        <v>120</v>
      </c>
      <c r="C19" t="s">
        <v>12</v>
      </c>
      <c r="D19">
        <v>2012</v>
      </c>
      <c r="E19" s="1" t="s">
        <v>44</v>
      </c>
      <c r="F19" t="s">
        <v>14</v>
      </c>
      <c r="H19" t="s">
        <v>15</v>
      </c>
      <c r="I19" s="16">
        <v>46108</v>
      </c>
    </row>
    <row r="20" spans="1:9">
      <c r="A20" t="s">
        <v>45</v>
      </c>
      <c r="B20">
        <v>121</v>
      </c>
      <c r="C20" t="s">
        <v>20</v>
      </c>
      <c r="D20">
        <v>2017</v>
      </c>
      <c r="E20" s="1"/>
      <c r="F20" t="s">
        <v>14</v>
      </c>
      <c r="H20" t="s">
        <v>21</v>
      </c>
      <c r="I20" s="16">
        <v>46094</v>
      </c>
    </row>
    <row r="21" spans="1:9" ht="28.9">
      <c r="A21" t="s">
        <v>46</v>
      </c>
      <c r="B21">
        <v>124</v>
      </c>
      <c r="C21" t="s">
        <v>47</v>
      </c>
      <c r="D21">
        <v>2017</v>
      </c>
      <c r="E21" s="1" t="s">
        <v>48</v>
      </c>
      <c r="F21" t="s">
        <v>14</v>
      </c>
      <c r="G21" t="s">
        <v>35</v>
      </c>
      <c r="H21" t="s">
        <v>15</v>
      </c>
      <c r="I21" s="16">
        <v>46108</v>
      </c>
    </row>
    <row r="22" spans="1:9">
      <c r="E22" s="1"/>
      <c r="I22" s="16"/>
    </row>
    <row r="23" spans="1:9">
      <c r="A23" t="s">
        <v>49</v>
      </c>
      <c r="B23">
        <v>123</v>
      </c>
      <c r="C23" t="s">
        <v>12</v>
      </c>
      <c r="D23">
        <v>2014</v>
      </c>
      <c r="E23" s="1"/>
      <c r="F23" t="s">
        <v>25</v>
      </c>
      <c r="H23" t="s">
        <v>21</v>
      </c>
      <c r="I23" s="16">
        <v>46094</v>
      </c>
    </row>
    <row r="24" spans="1:9">
      <c r="A24" t="s">
        <v>50</v>
      </c>
      <c r="B24">
        <v>122</v>
      </c>
      <c r="C24" t="s">
        <v>12</v>
      </c>
      <c r="D24">
        <v>2015</v>
      </c>
      <c r="E24" s="1"/>
      <c r="F24" t="s">
        <v>25</v>
      </c>
      <c r="H24" t="s">
        <v>21</v>
      </c>
      <c r="I24" s="16">
        <v>46094</v>
      </c>
    </row>
    <row r="25" spans="1:9">
      <c r="E25" s="1"/>
      <c r="I25" s="16"/>
    </row>
    <row r="26" spans="1:9">
      <c r="A26" t="s">
        <v>51</v>
      </c>
      <c r="B26">
        <v>134</v>
      </c>
      <c r="C26" t="s">
        <v>28</v>
      </c>
      <c r="D26">
        <v>2019</v>
      </c>
      <c r="E26" s="1" t="s">
        <v>52</v>
      </c>
      <c r="F26" t="s">
        <v>25</v>
      </c>
      <c r="H26" t="s">
        <v>15</v>
      </c>
      <c r="I26" s="16">
        <v>46094</v>
      </c>
    </row>
    <row r="27" spans="1:9">
      <c r="A27" t="s">
        <v>53</v>
      </c>
      <c r="B27">
        <v>137</v>
      </c>
      <c r="C27" t="s">
        <v>54</v>
      </c>
      <c r="D27">
        <v>2017</v>
      </c>
      <c r="E27" s="1"/>
      <c r="F27" t="s">
        <v>14</v>
      </c>
      <c r="H27" t="s">
        <v>21</v>
      </c>
      <c r="I27" s="16">
        <v>46108</v>
      </c>
    </row>
    <row r="28" spans="1:9">
      <c r="A28" t="s">
        <v>53</v>
      </c>
      <c r="B28">
        <v>138</v>
      </c>
      <c r="C28" t="s">
        <v>54</v>
      </c>
      <c r="D28">
        <v>2017</v>
      </c>
      <c r="E28" s="1"/>
      <c r="F28" t="s">
        <v>14</v>
      </c>
      <c r="H28" t="s">
        <v>21</v>
      </c>
      <c r="I28" s="16">
        <v>46108</v>
      </c>
    </row>
    <row r="29" spans="1:9">
      <c r="A29" t="s">
        <v>53</v>
      </c>
      <c r="B29">
        <v>136</v>
      </c>
      <c r="C29" t="s">
        <v>54</v>
      </c>
      <c r="D29">
        <v>2017</v>
      </c>
      <c r="E29" s="1" t="s">
        <v>55</v>
      </c>
      <c r="F29" t="s">
        <v>14</v>
      </c>
      <c r="H29" t="s">
        <v>15</v>
      </c>
      <c r="I29" s="16">
        <v>46108</v>
      </c>
    </row>
    <row r="30" spans="1:9">
      <c r="E30" s="1"/>
    </row>
    <row r="31" spans="1:9">
      <c r="E31" s="1"/>
    </row>
    <row r="32" spans="1:9">
      <c r="E32" s="1"/>
    </row>
    <row r="33" spans="5:5">
      <c r="E33" s="1"/>
    </row>
    <row r="34" spans="5:5">
      <c r="E34" s="1"/>
    </row>
    <row r="35" spans="5:5">
      <c r="E35" s="1"/>
    </row>
    <row r="36" spans="5:5">
      <c r="E36" s="1"/>
    </row>
    <row r="37" spans="5:5">
      <c r="E37" s="1"/>
    </row>
    <row r="38" spans="5:5">
      <c r="E38" s="1"/>
    </row>
    <row r="39" spans="5:5">
      <c r="E39" s="1"/>
    </row>
  </sheetData>
  <mergeCells count="1">
    <mergeCell ref="A1:I1"/>
  </mergeCells>
  <phoneticPr fontId="2" type="noConversion"/>
  <dataValidations count="4">
    <dataValidation type="list" allowBlank="1" showInputMessage="1" showErrorMessage="1" sqref="H21:H25 H3:H19" xr:uid="{BDBDE7E9-9FC3-44B3-919F-CEEE026A72CD}">
      <formula1>"Not Started, In Progress, Scrapped, Unknown"</formula1>
    </dataValidation>
    <dataValidation type="list" allowBlank="1" showInputMessage="1" showErrorMessage="1" sqref="G21:G25 G3:G19" xr:uid="{B3C7309D-E7FF-4409-A545-48D8D2AB8658}">
      <formula1>"Yes,No"</formula1>
    </dataValidation>
    <dataValidation type="whole" allowBlank="1" showInputMessage="1" showErrorMessage="1" sqref="B21:B25 B3:B19" xr:uid="{16B18C16-4889-4A0C-A4CE-D22AA5030E8B}">
      <formula1>0</formula1>
      <formula2>2000</formula2>
    </dataValidation>
    <dataValidation type="list" allowBlank="1" showInputMessage="1" showErrorMessage="1" sqref="F21:F25 F3:F19" xr:uid="{B98105AE-173E-4A15-99FD-BB956E15C3C9}">
      <formula1>"Included, Not Included"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A6183-B753-401C-B21E-C502785DFA3D}">
  <dimension ref="A1:G63"/>
  <sheetViews>
    <sheetView topLeftCell="A36" workbookViewId="0">
      <selection activeCell="A26" sqref="A26"/>
    </sheetView>
  </sheetViews>
  <sheetFormatPr defaultRowHeight="14.45"/>
  <cols>
    <col min="1" max="1" width="33.28515625" customWidth="1"/>
    <col min="2" max="2" width="7.5703125" style="12" customWidth="1"/>
    <col min="3" max="3" width="14.28515625" bestFit="1" customWidth="1"/>
    <col min="4" max="4" width="14.42578125" bestFit="1" customWidth="1"/>
    <col min="5" max="5" width="35.5703125" customWidth="1"/>
    <col min="6" max="6" width="15.140625" bestFit="1" customWidth="1"/>
    <col min="7" max="7" width="14.7109375" bestFit="1" customWidth="1"/>
  </cols>
  <sheetData>
    <row r="1" spans="1:7">
      <c r="A1" s="24" t="s">
        <v>56</v>
      </c>
      <c r="B1" s="25"/>
      <c r="C1" s="25"/>
      <c r="D1" s="25"/>
      <c r="E1" s="25"/>
      <c r="F1" s="25"/>
      <c r="G1" s="25"/>
    </row>
    <row r="2" spans="1:7">
      <c r="A2" t="s">
        <v>1</v>
      </c>
      <c r="B2" s="12" t="s">
        <v>2</v>
      </c>
      <c r="C2" t="s">
        <v>3</v>
      </c>
      <c r="D2" t="s">
        <v>4</v>
      </c>
      <c r="E2" t="s">
        <v>5</v>
      </c>
      <c r="F2" t="s">
        <v>8</v>
      </c>
      <c r="G2" t="s">
        <v>9</v>
      </c>
    </row>
    <row r="3" spans="1:7">
      <c r="A3" s="4" t="s">
        <v>57</v>
      </c>
      <c r="B3" s="13">
        <v>1</v>
      </c>
      <c r="C3" s="5" t="s">
        <v>28</v>
      </c>
      <c r="D3" s="5">
        <v>2015</v>
      </c>
      <c r="E3" s="6"/>
      <c r="F3" s="5" t="s">
        <v>21</v>
      </c>
      <c r="G3" s="7">
        <v>46000</v>
      </c>
    </row>
    <row r="4" spans="1:7">
      <c r="A4" s="8" t="s">
        <v>57</v>
      </c>
      <c r="B4" s="14">
        <v>2</v>
      </c>
      <c r="C4" s="9" t="s">
        <v>28</v>
      </c>
      <c r="D4" s="9">
        <v>2015</v>
      </c>
      <c r="E4" s="10"/>
      <c r="F4" s="9" t="s">
        <v>21</v>
      </c>
      <c r="G4" s="11">
        <v>46000</v>
      </c>
    </row>
    <row r="5" spans="1:7" ht="15" customHeight="1">
      <c r="A5" s="4" t="s">
        <v>57</v>
      </c>
      <c r="B5" s="13">
        <v>3</v>
      </c>
      <c r="C5" s="5" t="s">
        <v>28</v>
      </c>
      <c r="D5" s="5">
        <v>2015</v>
      </c>
      <c r="E5" s="6" t="s">
        <v>58</v>
      </c>
      <c r="F5" s="5" t="s">
        <v>15</v>
      </c>
      <c r="G5" s="7">
        <v>46094</v>
      </c>
    </row>
    <row r="6" spans="1:7" ht="43.15">
      <c r="A6" s="8" t="s">
        <v>57</v>
      </c>
      <c r="B6" s="14">
        <v>4</v>
      </c>
      <c r="C6" s="9" t="s">
        <v>28</v>
      </c>
      <c r="D6" s="9">
        <v>2015</v>
      </c>
      <c r="E6" s="10" t="s">
        <v>59</v>
      </c>
      <c r="F6" s="9" t="s">
        <v>15</v>
      </c>
      <c r="G6" s="11">
        <v>46115</v>
      </c>
    </row>
    <row r="7" spans="1:7">
      <c r="A7" s="4" t="s">
        <v>57</v>
      </c>
      <c r="B7" s="13">
        <v>5</v>
      </c>
      <c r="C7" s="5" t="s">
        <v>28</v>
      </c>
      <c r="D7" s="5">
        <v>2015</v>
      </c>
      <c r="E7" s="6"/>
      <c r="F7" s="5" t="s">
        <v>21</v>
      </c>
      <c r="G7" s="7">
        <v>46000</v>
      </c>
    </row>
    <row r="8" spans="1:7" ht="28.9">
      <c r="A8" s="8" t="s">
        <v>57</v>
      </c>
      <c r="B8" s="14">
        <v>6</v>
      </c>
      <c r="C8" s="9" t="s">
        <v>28</v>
      </c>
      <c r="D8" s="9">
        <v>2015</v>
      </c>
      <c r="E8" s="10" t="s">
        <v>60</v>
      </c>
      <c r="F8" s="9" t="s">
        <v>15</v>
      </c>
      <c r="G8" s="11">
        <v>46057</v>
      </c>
    </row>
    <row r="9" spans="1:7">
      <c r="A9" s="4" t="s">
        <v>57</v>
      </c>
      <c r="B9" s="13">
        <v>7</v>
      </c>
      <c r="C9" s="5" t="s">
        <v>28</v>
      </c>
      <c r="D9" s="5">
        <v>2015</v>
      </c>
      <c r="E9" s="6"/>
      <c r="F9" s="5" t="s">
        <v>21</v>
      </c>
      <c r="G9" s="7">
        <v>46000</v>
      </c>
    </row>
    <row r="10" spans="1:7">
      <c r="A10" s="8"/>
      <c r="B10" s="14"/>
      <c r="C10" s="9"/>
      <c r="D10" s="9"/>
      <c r="E10" s="10"/>
      <c r="F10" s="9"/>
      <c r="G10" s="11"/>
    </row>
    <row r="11" spans="1:7">
      <c r="A11" s="4" t="s">
        <v>57</v>
      </c>
      <c r="B11" s="13">
        <v>9</v>
      </c>
      <c r="C11" s="5" t="s">
        <v>28</v>
      </c>
      <c r="D11" s="5">
        <v>2015</v>
      </c>
      <c r="E11" s="6"/>
      <c r="F11" s="5" t="s">
        <v>21</v>
      </c>
      <c r="G11" s="7">
        <v>46000</v>
      </c>
    </row>
    <row r="12" spans="1:7" ht="57.6">
      <c r="A12" s="8" t="s">
        <v>61</v>
      </c>
      <c r="B12" s="14">
        <v>12</v>
      </c>
      <c r="C12" s="9" t="s">
        <v>28</v>
      </c>
      <c r="D12" s="9">
        <v>2016</v>
      </c>
      <c r="E12" s="10" t="s">
        <v>62</v>
      </c>
      <c r="F12" s="9" t="s">
        <v>15</v>
      </c>
      <c r="G12" s="11">
        <v>46000</v>
      </c>
    </row>
    <row r="13" spans="1:7">
      <c r="A13" s="8" t="s">
        <v>61</v>
      </c>
      <c r="B13" s="14">
        <v>14</v>
      </c>
      <c r="C13" s="9" t="s">
        <v>28</v>
      </c>
      <c r="D13" s="9">
        <v>2016</v>
      </c>
      <c r="E13" s="10" t="s">
        <v>63</v>
      </c>
      <c r="F13" s="9" t="s">
        <v>15</v>
      </c>
      <c r="G13" s="11">
        <v>46000</v>
      </c>
    </row>
    <row r="14" spans="1:7">
      <c r="A14" s="4" t="s">
        <v>61</v>
      </c>
      <c r="B14" s="13">
        <v>18</v>
      </c>
      <c r="C14" s="5" t="s">
        <v>28</v>
      </c>
      <c r="D14" s="5">
        <v>2016</v>
      </c>
      <c r="E14" s="6"/>
      <c r="F14" s="5" t="s">
        <v>21</v>
      </c>
      <c r="G14" s="7">
        <v>46000</v>
      </c>
    </row>
    <row r="15" spans="1:7">
      <c r="A15" s="8" t="s">
        <v>61</v>
      </c>
      <c r="B15" s="14">
        <v>19</v>
      </c>
      <c r="C15" s="9" t="s">
        <v>28</v>
      </c>
      <c r="D15" s="9">
        <v>2016</v>
      </c>
      <c r="E15" s="10"/>
      <c r="F15" s="9" t="s">
        <v>21</v>
      </c>
      <c r="G15" s="11">
        <v>46000</v>
      </c>
    </row>
    <row r="16" spans="1:7">
      <c r="A16" s="4" t="s">
        <v>61</v>
      </c>
      <c r="B16" s="13">
        <v>20</v>
      </c>
      <c r="C16" s="5" t="s">
        <v>28</v>
      </c>
      <c r="D16" s="5">
        <v>2016</v>
      </c>
      <c r="E16" s="6"/>
      <c r="F16" s="5" t="s">
        <v>21</v>
      </c>
      <c r="G16" s="7">
        <v>46000</v>
      </c>
    </row>
    <row r="17" spans="1:7">
      <c r="A17" s="4" t="s">
        <v>61</v>
      </c>
      <c r="B17" s="14">
        <v>21</v>
      </c>
      <c r="C17" s="9" t="s">
        <v>28</v>
      </c>
      <c r="D17" s="9">
        <v>2016</v>
      </c>
      <c r="E17" s="10"/>
      <c r="F17" s="9" t="s">
        <v>21</v>
      </c>
      <c r="G17" s="11">
        <v>46000</v>
      </c>
    </row>
    <row r="18" spans="1:7">
      <c r="A18" s="4" t="s">
        <v>61</v>
      </c>
      <c r="B18" s="13">
        <v>23</v>
      </c>
      <c r="C18" s="5" t="s">
        <v>28</v>
      </c>
      <c r="D18" s="5">
        <v>2016</v>
      </c>
      <c r="E18" s="6"/>
      <c r="F18" s="5" t="s">
        <v>15</v>
      </c>
      <c r="G18" s="7">
        <v>46057</v>
      </c>
    </row>
    <row r="19" spans="1:7">
      <c r="A19" s="8" t="s">
        <v>61</v>
      </c>
      <c r="B19" s="14">
        <v>24</v>
      </c>
      <c r="C19" s="9" t="s">
        <v>28</v>
      </c>
      <c r="D19" s="9">
        <v>2016</v>
      </c>
      <c r="E19" s="10"/>
      <c r="F19" s="9" t="s">
        <v>21</v>
      </c>
      <c r="G19" s="11">
        <v>46000</v>
      </c>
    </row>
    <row r="20" spans="1:7">
      <c r="A20" s="4" t="s">
        <v>61</v>
      </c>
      <c r="B20" s="13">
        <v>25</v>
      </c>
      <c r="C20" s="5" t="s">
        <v>28</v>
      </c>
      <c r="D20" s="5">
        <v>2016</v>
      </c>
      <c r="E20" s="6"/>
      <c r="F20" s="5" t="s">
        <v>21</v>
      </c>
      <c r="G20" s="7">
        <v>46000</v>
      </c>
    </row>
    <row r="21" spans="1:7">
      <c r="A21" s="8" t="s">
        <v>61</v>
      </c>
      <c r="B21" s="14">
        <v>27</v>
      </c>
      <c r="C21" s="9" t="s">
        <v>28</v>
      </c>
      <c r="D21" s="9">
        <v>2016</v>
      </c>
      <c r="E21" s="10"/>
      <c r="F21" s="9" t="s">
        <v>21</v>
      </c>
      <c r="G21" s="11">
        <v>46000</v>
      </c>
    </row>
    <row r="22" spans="1:7">
      <c r="A22" s="4" t="s">
        <v>64</v>
      </c>
      <c r="B22" s="13">
        <v>28</v>
      </c>
      <c r="C22" s="5" t="s">
        <v>28</v>
      </c>
      <c r="D22" s="5">
        <v>2013</v>
      </c>
      <c r="E22" s="6"/>
      <c r="F22" s="5" t="s">
        <v>21</v>
      </c>
      <c r="G22" s="7">
        <v>46000</v>
      </c>
    </row>
    <row r="23" spans="1:7">
      <c r="A23" s="8" t="s">
        <v>65</v>
      </c>
      <c r="B23" s="14">
        <v>31</v>
      </c>
      <c r="C23" s="9" t="s">
        <v>28</v>
      </c>
      <c r="D23" s="9">
        <v>2017</v>
      </c>
      <c r="E23" s="10" t="s">
        <v>66</v>
      </c>
      <c r="F23" s="9" t="s">
        <v>15</v>
      </c>
      <c r="G23" s="11">
        <v>46132</v>
      </c>
    </row>
    <row r="24" spans="1:7">
      <c r="A24" s="4" t="s">
        <v>64</v>
      </c>
      <c r="B24" s="13">
        <v>32</v>
      </c>
      <c r="C24" s="5" t="s">
        <v>28</v>
      </c>
      <c r="D24" s="5">
        <v>2013</v>
      </c>
      <c r="E24" s="6"/>
      <c r="F24" s="5" t="s">
        <v>15</v>
      </c>
      <c r="G24" s="7">
        <v>46052</v>
      </c>
    </row>
    <row r="25" spans="1:7">
      <c r="A25" s="8" t="s">
        <v>64</v>
      </c>
      <c r="B25" s="14">
        <v>33</v>
      </c>
      <c r="C25" s="9"/>
      <c r="D25" s="9">
        <v>2013</v>
      </c>
      <c r="E25" s="10"/>
      <c r="F25" s="9" t="s">
        <v>21</v>
      </c>
      <c r="G25" s="11">
        <v>46000</v>
      </c>
    </row>
    <row r="26" spans="1:7">
      <c r="A26" s="4"/>
      <c r="B26" s="13"/>
      <c r="C26" s="5"/>
      <c r="D26" s="5"/>
      <c r="E26" s="6"/>
      <c r="F26" s="5"/>
      <c r="G26" s="7"/>
    </row>
    <row r="27" spans="1:7">
      <c r="A27" s="8" t="s">
        <v>64</v>
      </c>
      <c r="B27" s="14">
        <v>37</v>
      </c>
      <c r="C27" s="9" t="s">
        <v>28</v>
      </c>
      <c r="D27" s="9">
        <v>2013</v>
      </c>
      <c r="E27" s="10" t="s">
        <v>67</v>
      </c>
      <c r="F27" s="9" t="s">
        <v>15</v>
      </c>
      <c r="G27" s="11">
        <v>46122</v>
      </c>
    </row>
    <row r="28" spans="1:7">
      <c r="A28" s="4" t="s">
        <v>68</v>
      </c>
      <c r="B28" s="13">
        <v>38</v>
      </c>
      <c r="C28" s="5" t="s">
        <v>28</v>
      </c>
      <c r="D28" s="5">
        <v>2009</v>
      </c>
      <c r="E28" s="6"/>
      <c r="F28" s="5" t="s">
        <v>21</v>
      </c>
      <c r="G28" s="7">
        <v>46000</v>
      </c>
    </row>
    <row r="29" spans="1:7">
      <c r="A29" s="8" t="s">
        <v>69</v>
      </c>
      <c r="B29" s="14">
        <v>39</v>
      </c>
      <c r="C29" s="9" t="s">
        <v>28</v>
      </c>
      <c r="D29" s="9">
        <v>2018</v>
      </c>
      <c r="E29" s="10" t="s">
        <v>70</v>
      </c>
      <c r="F29" s="9" t="s">
        <v>15</v>
      </c>
      <c r="G29" s="11">
        <v>46101</v>
      </c>
    </row>
    <row r="30" spans="1:7">
      <c r="A30" s="8" t="s">
        <v>71</v>
      </c>
      <c r="B30" s="14">
        <v>41</v>
      </c>
      <c r="C30" s="9" t="s">
        <v>28</v>
      </c>
      <c r="D30" s="9">
        <v>2012</v>
      </c>
      <c r="E30" s="10" t="s">
        <v>72</v>
      </c>
      <c r="F30" s="9" t="s">
        <v>15</v>
      </c>
      <c r="G30" s="11">
        <v>46073</v>
      </c>
    </row>
    <row r="31" spans="1:7">
      <c r="A31" s="8" t="s">
        <v>73</v>
      </c>
      <c r="B31" s="14">
        <v>42</v>
      </c>
      <c r="C31" s="9" t="s">
        <v>28</v>
      </c>
      <c r="D31" s="9">
        <v>2017</v>
      </c>
      <c r="E31" s="10"/>
      <c r="F31" s="9" t="s">
        <v>21</v>
      </c>
      <c r="G31" s="11">
        <v>46000</v>
      </c>
    </row>
    <row r="32" spans="1:7">
      <c r="A32" s="8" t="s">
        <v>74</v>
      </c>
      <c r="B32" s="14">
        <v>43</v>
      </c>
      <c r="C32" s="9" t="s">
        <v>28</v>
      </c>
      <c r="D32" s="9">
        <v>2014</v>
      </c>
      <c r="E32" s="10"/>
      <c r="F32" s="9" t="s">
        <v>21</v>
      </c>
      <c r="G32" s="11">
        <v>46000</v>
      </c>
    </row>
    <row r="33" spans="1:7">
      <c r="A33" s="8" t="s">
        <v>75</v>
      </c>
      <c r="B33" s="14">
        <v>44</v>
      </c>
      <c r="C33" s="9" t="s">
        <v>28</v>
      </c>
      <c r="D33" s="9">
        <v>2017</v>
      </c>
      <c r="E33" s="10"/>
      <c r="F33" s="9" t="s">
        <v>21</v>
      </c>
      <c r="G33" s="11">
        <v>46000</v>
      </c>
    </row>
    <row r="34" spans="1:7">
      <c r="A34" s="8" t="s">
        <v>73</v>
      </c>
      <c r="B34" s="14">
        <v>45</v>
      </c>
      <c r="C34" s="9" t="s">
        <v>28</v>
      </c>
      <c r="D34" s="9">
        <v>2017</v>
      </c>
      <c r="E34" s="10"/>
      <c r="F34" s="9" t="s">
        <v>21</v>
      </c>
      <c r="G34" s="11">
        <v>46000</v>
      </c>
    </row>
    <row r="35" spans="1:7">
      <c r="A35" s="8" t="s">
        <v>76</v>
      </c>
      <c r="B35" s="14">
        <v>46</v>
      </c>
      <c r="C35" s="9" t="s">
        <v>37</v>
      </c>
      <c r="D35" s="9">
        <v>2020</v>
      </c>
      <c r="E35" s="10"/>
      <c r="F35" s="9" t="s">
        <v>21</v>
      </c>
      <c r="G35" s="11">
        <v>46000</v>
      </c>
    </row>
    <row r="36" spans="1:7">
      <c r="A36" t="s">
        <v>77</v>
      </c>
      <c r="B36" s="12">
        <v>47</v>
      </c>
      <c r="C36" t="s">
        <v>28</v>
      </c>
      <c r="D36">
        <v>2017</v>
      </c>
      <c r="E36" t="s">
        <v>78</v>
      </c>
      <c r="F36" t="s">
        <v>15</v>
      </c>
      <c r="G36" s="16">
        <v>46094</v>
      </c>
    </row>
    <row r="37" spans="1:7">
      <c r="A37" t="s">
        <v>64</v>
      </c>
      <c r="B37" s="12">
        <v>80</v>
      </c>
      <c r="C37" t="s">
        <v>28</v>
      </c>
      <c r="D37">
        <v>2013</v>
      </c>
      <c r="E37" t="s">
        <v>79</v>
      </c>
      <c r="F37" t="s">
        <v>15</v>
      </c>
      <c r="G37" s="16">
        <v>46031</v>
      </c>
    </row>
    <row r="38" spans="1:7">
      <c r="A38" t="s">
        <v>80</v>
      </c>
      <c r="B38" s="12">
        <v>82</v>
      </c>
      <c r="C38" t="s">
        <v>28</v>
      </c>
      <c r="D38">
        <v>2014</v>
      </c>
      <c r="F38" t="s">
        <v>21</v>
      </c>
      <c r="G38" s="16">
        <v>46001</v>
      </c>
    </row>
    <row r="39" spans="1:7">
      <c r="A39" t="s">
        <v>81</v>
      </c>
      <c r="B39" s="12">
        <v>89</v>
      </c>
      <c r="C39" t="s">
        <v>82</v>
      </c>
      <c r="D39">
        <v>2014</v>
      </c>
      <c r="F39" t="s">
        <v>21</v>
      </c>
      <c r="G39" s="16">
        <v>46031</v>
      </c>
    </row>
    <row r="40" spans="1:7">
      <c r="A40" t="s">
        <v>64</v>
      </c>
      <c r="B40" s="12">
        <v>35</v>
      </c>
      <c r="C40" t="s">
        <v>28</v>
      </c>
      <c r="D40">
        <v>2013</v>
      </c>
      <c r="E40" t="s">
        <v>83</v>
      </c>
      <c r="F40" t="s">
        <v>15</v>
      </c>
      <c r="G40" s="16">
        <v>46057</v>
      </c>
    </row>
    <row r="41" spans="1:7">
      <c r="A41" t="s">
        <v>84</v>
      </c>
      <c r="B41" s="12">
        <v>102</v>
      </c>
      <c r="C41" t="s">
        <v>82</v>
      </c>
      <c r="D41">
        <v>2018</v>
      </c>
      <c r="E41" t="s">
        <v>85</v>
      </c>
      <c r="F41" t="s">
        <v>15</v>
      </c>
      <c r="G41" s="16">
        <v>46122</v>
      </c>
    </row>
    <row r="42" spans="1:7">
      <c r="G42" s="16"/>
    </row>
    <row r="43" spans="1:7">
      <c r="A43" t="s">
        <v>81</v>
      </c>
      <c r="B43" s="12">
        <v>104</v>
      </c>
      <c r="C43" t="s">
        <v>82</v>
      </c>
      <c r="D43">
        <v>2014</v>
      </c>
      <c r="F43" t="s">
        <v>21</v>
      </c>
      <c r="G43" s="16">
        <v>46066</v>
      </c>
    </row>
    <row r="44" spans="1:7">
      <c r="A44" t="s">
        <v>81</v>
      </c>
      <c r="B44" s="12">
        <v>105</v>
      </c>
      <c r="C44" t="s">
        <v>82</v>
      </c>
      <c r="D44">
        <v>2014</v>
      </c>
      <c r="F44" t="s">
        <v>21</v>
      </c>
      <c r="G44" s="16">
        <v>46066</v>
      </c>
    </row>
    <row r="45" spans="1:7">
      <c r="A45" t="s">
        <v>81</v>
      </c>
      <c r="B45" s="12">
        <v>106</v>
      </c>
      <c r="C45" t="s">
        <v>82</v>
      </c>
      <c r="D45">
        <v>2014</v>
      </c>
      <c r="F45" t="s">
        <v>21</v>
      </c>
      <c r="G45" s="16">
        <v>46066</v>
      </c>
    </row>
    <row r="46" spans="1:7">
      <c r="A46" t="s">
        <v>86</v>
      </c>
      <c r="B46" s="12">
        <v>107</v>
      </c>
      <c r="C46" t="s">
        <v>28</v>
      </c>
      <c r="D46">
        <v>2014</v>
      </c>
      <c r="E46" t="s">
        <v>59</v>
      </c>
      <c r="F46" t="s">
        <v>15</v>
      </c>
      <c r="G46" s="16">
        <v>46073</v>
      </c>
    </row>
    <row r="47" spans="1:7">
      <c r="A47" t="s">
        <v>86</v>
      </c>
      <c r="B47" s="12">
        <v>109</v>
      </c>
      <c r="C47" t="s">
        <v>28</v>
      </c>
      <c r="D47">
        <v>2014</v>
      </c>
      <c r="E47" t="s">
        <v>87</v>
      </c>
      <c r="F47" t="s">
        <v>15</v>
      </c>
      <c r="G47" s="16">
        <v>46108</v>
      </c>
    </row>
    <row r="48" spans="1:7">
      <c r="A48" t="s">
        <v>88</v>
      </c>
      <c r="B48" s="12">
        <v>111</v>
      </c>
      <c r="C48" t="s">
        <v>37</v>
      </c>
      <c r="D48">
        <v>2018</v>
      </c>
      <c r="F48" t="s">
        <v>21</v>
      </c>
      <c r="G48" s="16">
        <v>46092</v>
      </c>
    </row>
    <row r="49" spans="1:7">
      <c r="A49" t="s">
        <v>89</v>
      </c>
      <c r="B49" s="12">
        <v>112</v>
      </c>
      <c r="C49" t="s">
        <v>90</v>
      </c>
      <c r="F49" t="s">
        <v>21</v>
      </c>
      <c r="G49" s="16">
        <v>46092</v>
      </c>
    </row>
    <row r="50" spans="1:7">
      <c r="A50" t="s">
        <v>91</v>
      </c>
      <c r="B50" s="12">
        <v>127</v>
      </c>
      <c r="C50" t="s">
        <v>12</v>
      </c>
      <c r="D50">
        <v>2016</v>
      </c>
      <c r="F50" t="s">
        <v>21</v>
      </c>
      <c r="G50" s="16">
        <v>46094</v>
      </c>
    </row>
    <row r="51" spans="1:7">
      <c r="A51" t="s">
        <v>92</v>
      </c>
      <c r="B51" s="12">
        <v>128</v>
      </c>
      <c r="C51" t="s">
        <v>37</v>
      </c>
      <c r="D51">
        <v>2018</v>
      </c>
      <c r="F51" t="s">
        <v>21</v>
      </c>
      <c r="G51" s="16">
        <v>46094</v>
      </c>
    </row>
    <row r="52" spans="1:7">
      <c r="A52" t="s">
        <v>93</v>
      </c>
      <c r="B52" s="12">
        <v>129</v>
      </c>
      <c r="C52" t="s">
        <v>37</v>
      </c>
      <c r="D52">
        <v>2017</v>
      </c>
      <c r="F52" t="s">
        <v>15</v>
      </c>
      <c r="G52" s="16">
        <v>46101</v>
      </c>
    </row>
    <row r="53" spans="1:7">
      <c r="A53" t="s">
        <v>94</v>
      </c>
      <c r="B53" s="12">
        <v>130</v>
      </c>
      <c r="C53" t="s">
        <v>95</v>
      </c>
      <c r="D53">
        <v>2015</v>
      </c>
      <c r="E53" t="s">
        <v>96</v>
      </c>
      <c r="F53" t="s">
        <v>15</v>
      </c>
      <c r="G53" s="16">
        <v>46101</v>
      </c>
    </row>
    <row r="54" spans="1:7">
      <c r="A54" t="s">
        <v>97</v>
      </c>
      <c r="B54" s="12">
        <v>131</v>
      </c>
      <c r="C54" t="s">
        <v>37</v>
      </c>
      <c r="D54">
        <v>2019</v>
      </c>
      <c r="F54" t="s">
        <v>21</v>
      </c>
      <c r="G54" s="16">
        <v>46094</v>
      </c>
    </row>
    <row r="55" spans="1:7">
      <c r="A55" t="s">
        <v>98</v>
      </c>
      <c r="B55" s="12">
        <v>132</v>
      </c>
      <c r="C55" t="s">
        <v>37</v>
      </c>
      <c r="D55">
        <v>2020</v>
      </c>
      <c r="E55" t="s">
        <v>99</v>
      </c>
      <c r="F55" t="s">
        <v>15</v>
      </c>
      <c r="G55" s="16">
        <v>46094</v>
      </c>
    </row>
    <row r="56" spans="1:7">
      <c r="A56" t="s">
        <v>100</v>
      </c>
      <c r="B56" s="12">
        <v>133</v>
      </c>
      <c r="C56" t="s">
        <v>28</v>
      </c>
      <c r="D56">
        <v>2019</v>
      </c>
      <c r="F56" t="s">
        <v>21</v>
      </c>
      <c r="G56" s="16">
        <v>46094</v>
      </c>
    </row>
    <row r="57" spans="1:7">
      <c r="A57" t="s">
        <v>91</v>
      </c>
      <c r="B57" s="12">
        <v>135</v>
      </c>
      <c r="C57" t="s">
        <v>12</v>
      </c>
      <c r="D57">
        <v>2016</v>
      </c>
      <c r="F57" t="s">
        <v>21</v>
      </c>
      <c r="G57" s="16">
        <v>46094</v>
      </c>
    </row>
    <row r="58" spans="1:7">
      <c r="A58" t="s">
        <v>75</v>
      </c>
      <c r="B58" s="12">
        <v>139</v>
      </c>
      <c r="C58" t="s">
        <v>28</v>
      </c>
      <c r="D58">
        <v>2018</v>
      </c>
      <c r="F58" t="s">
        <v>21</v>
      </c>
      <c r="G58" s="16">
        <v>46115</v>
      </c>
    </row>
    <row r="59" spans="1:7">
      <c r="A59" t="s">
        <v>64</v>
      </c>
      <c r="B59" s="12">
        <v>142</v>
      </c>
      <c r="C59" t="s">
        <v>28</v>
      </c>
      <c r="D59">
        <v>2013</v>
      </c>
      <c r="E59" t="s">
        <v>101</v>
      </c>
      <c r="F59" t="s">
        <v>15</v>
      </c>
      <c r="G59" s="16">
        <v>46115</v>
      </c>
    </row>
    <row r="60" spans="1:7">
      <c r="G60" s="16"/>
    </row>
    <row r="61" spans="1:7">
      <c r="G61" s="16"/>
    </row>
    <row r="62" spans="1:7">
      <c r="G62" s="16"/>
    </row>
    <row r="63" spans="1:7">
      <c r="G63" s="16"/>
    </row>
  </sheetData>
  <mergeCells count="1">
    <mergeCell ref="A1:G1"/>
  </mergeCells>
  <conditionalFormatting sqref="A3:G63">
    <cfRule type="expression" dxfId="25" priority="1">
      <formula>ISEVEN(ROW())</formula>
    </cfRule>
    <cfRule type="expression" dxfId="24" priority="2">
      <formula>ISODD(ROW())</formula>
    </cfRule>
  </conditionalFormatting>
  <dataValidations count="1">
    <dataValidation type="list" allowBlank="1" showInputMessage="1" showErrorMessage="1" sqref="F44:F46 F49:F63 F3:F39" xr:uid="{6630553F-92E4-427F-9784-13858DB7D720}">
      <formula1>"Not Started,In Progress,Scrapped,Unknown"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8288C-1730-49D1-BD4C-FC704F167D22}">
  <dimension ref="A1:I33"/>
  <sheetViews>
    <sheetView workbookViewId="0">
      <selection activeCell="A5" sqref="A5"/>
    </sheetView>
  </sheetViews>
  <sheetFormatPr defaultRowHeight="14.45"/>
  <cols>
    <col min="1" max="1" width="33.28515625" customWidth="1"/>
    <col min="2" max="2" width="6.140625" customWidth="1"/>
    <col min="3" max="3" width="14.28515625" bestFit="1" customWidth="1"/>
    <col min="4" max="4" width="14.42578125" bestFit="1" customWidth="1"/>
    <col min="5" max="5" width="35.5703125" customWidth="1"/>
    <col min="6" max="6" width="11.140625" bestFit="1" customWidth="1"/>
    <col min="7" max="7" width="16.42578125" bestFit="1" customWidth="1"/>
    <col min="8" max="8" width="15.140625" bestFit="1" customWidth="1"/>
    <col min="9" max="9" width="14.7109375" bestFit="1" customWidth="1"/>
  </cols>
  <sheetData>
    <row r="1" spans="1:9">
      <c r="A1" s="24" t="s">
        <v>102</v>
      </c>
      <c r="B1" s="25"/>
      <c r="C1" s="25"/>
      <c r="D1" s="25"/>
      <c r="E1" s="25"/>
      <c r="F1" s="25"/>
      <c r="G1" s="25"/>
      <c r="H1" s="25"/>
      <c r="I1" s="25"/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t="s">
        <v>103</v>
      </c>
      <c r="B3">
        <v>74</v>
      </c>
      <c r="C3" t="s">
        <v>20</v>
      </c>
      <c r="D3">
        <v>2011</v>
      </c>
      <c r="E3" s="1" t="s">
        <v>104</v>
      </c>
      <c r="F3" t="s">
        <v>14</v>
      </c>
      <c r="G3" t="s">
        <v>105</v>
      </c>
      <c r="H3" t="s">
        <v>21</v>
      </c>
      <c r="I3" s="16">
        <v>46001</v>
      </c>
    </row>
    <row r="4" spans="1:9">
      <c r="A4" t="s">
        <v>103</v>
      </c>
      <c r="B4">
        <v>75</v>
      </c>
      <c r="C4" t="s">
        <v>20</v>
      </c>
      <c r="D4">
        <v>2011</v>
      </c>
      <c r="E4" s="1" t="s">
        <v>106</v>
      </c>
      <c r="F4" t="s">
        <v>14</v>
      </c>
      <c r="G4" t="s">
        <v>105</v>
      </c>
      <c r="H4" t="s">
        <v>21</v>
      </c>
      <c r="I4" s="16">
        <v>46001</v>
      </c>
    </row>
    <row r="5" spans="1:9">
      <c r="E5" s="1"/>
    </row>
    <row r="6" spans="1:9">
      <c r="E6" s="1"/>
    </row>
    <row r="7" spans="1:9">
      <c r="E7" s="1"/>
    </row>
    <row r="8" spans="1:9">
      <c r="E8" s="1"/>
    </row>
    <row r="9" spans="1:9">
      <c r="E9" s="1"/>
    </row>
    <row r="10" spans="1:9">
      <c r="E10" s="1"/>
    </row>
    <row r="11" spans="1:9">
      <c r="E11" s="1"/>
    </row>
    <row r="12" spans="1:9">
      <c r="E12" s="1"/>
    </row>
    <row r="13" spans="1:9">
      <c r="E13" s="1"/>
    </row>
    <row r="14" spans="1:9">
      <c r="E14" s="1"/>
    </row>
    <row r="15" spans="1:9">
      <c r="E15" s="1"/>
    </row>
    <row r="16" spans="1:9">
      <c r="E16" s="1"/>
    </row>
    <row r="17" spans="5:5">
      <c r="E17" s="1"/>
    </row>
    <row r="18" spans="5:5">
      <c r="E18" s="1"/>
    </row>
    <row r="19" spans="5:5">
      <c r="E19" s="1"/>
    </row>
    <row r="20" spans="5:5">
      <c r="E20" s="1"/>
    </row>
    <row r="21" spans="5:5">
      <c r="E21" s="1"/>
    </row>
    <row r="22" spans="5:5">
      <c r="E22" s="1"/>
    </row>
    <row r="23" spans="5:5">
      <c r="E23" s="1"/>
    </row>
    <row r="24" spans="5:5">
      <c r="E24" s="1"/>
    </row>
    <row r="25" spans="5:5">
      <c r="E25" s="1"/>
    </row>
    <row r="26" spans="5:5">
      <c r="E26" s="1"/>
    </row>
    <row r="27" spans="5:5">
      <c r="E27" s="1"/>
    </row>
    <row r="28" spans="5:5">
      <c r="E28" s="1"/>
    </row>
    <row r="29" spans="5:5">
      <c r="E29" s="1"/>
    </row>
    <row r="30" spans="5:5">
      <c r="E30" s="1"/>
    </row>
    <row r="31" spans="5:5">
      <c r="E31" s="1"/>
    </row>
    <row r="32" spans="5:5">
      <c r="E32" s="1"/>
    </row>
    <row r="33" spans="5:5">
      <c r="E33" s="1"/>
    </row>
  </sheetData>
  <mergeCells count="1">
    <mergeCell ref="A1:I1"/>
  </mergeCells>
  <dataValidations count="4">
    <dataValidation type="list" allowBlank="1" showInputMessage="1" showErrorMessage="1" sqref="F3:F33" xr:uid="{DC839142-B4EB-40C5-A87E-16E886C982C3}">
      <formula1>"Included, Not Included"</formula1>
    </dataValidation>
    <dataValidation type="whole" allowBlank="1" showInputMessage="1" showErrorMessage="1" sqref="B3:B33" xr:uid="{5D9F521D-9556-4B0B-98FA-700A425B326D}">
      <formula1>0</formula1>
      <formula2>2000</formula2>
    </dataValidation>
    <dataValidation type="list" allowBlank="1" showInputMessage="1" showErrorMessage="1" sqref="G3:G33" xr:uid="{5C3E82F6-F480-4C1E-B342-7BEF40999310}">
      <formula1>"Yes,No"</formula1>
    </dataValidation>
    <dataValidation type="list" allowBlank="1" showInputMessage="1" showErrorMessage="1" sqref="H3:H33" xr:uid="{E5C6D861-9704-4A24-A373-266C3767845A}">
      <formula1>"Not Started, In Progress, Scrapped, Unknown"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6381-3E33-4CB8-A62B-E48A74AB9667}">
  <dimension ref="A1:L33"/>
  <sheetViews>
    <sheetView workbookViewId="0">
      <selection activeCell="L4" sqref="L4"/>
    </sheetView>
  </sheetViews>
  <sheetFormatPr defaultRowHeight="15" customHeight="1"/>
  <cols>
    <col min="1" max="1" width="40" customWidth="1"/>
    <col min="2" max="2" width="15" bestFit="1" customWidth="1"/>
    <col min="3" max="3" width="10.28515625" bestFit="1" customWidth="1"/>
    <col min="4" max="5" width="13.28515625" customWidth="1"/>
    <col min="6" max="6" width="15" customWidth="1"/>
    <col min="7" max="7" width="17.140625" customWidth="1"/>
    <col min="8" max="8" width="11.140625" bestFit="1" customWidth="1"/>
    <col min="9" max="9" width="14.140625" customWidth="1"/>
    <col min="10" max="10" width="18.7109375" style="19" customWidth="1"/>
    <col min="11" max="11" width="21.28515625" customWidth="1"/>
    <col min="12" max="12" width="13" customWidth="1"/>
  </cols>
  <sheetData>
    <row r="1" spans="1:12" ht="14.45">
      <c r="A1" s="26" t="s">
        <v>107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14.45">
      <c r="A2" t="s">
        <v>108</v>
      </c>
      <c r="B2" t="s">
        <v>109</v>
      </c>
      <c r="C2" t="s">
        <v>110</v>
      </c>
      <c r="D2" t="s">
        <v>111</v>
      </c>
      <c r="E2" t="s">
        <v>112</v>
      </c>
      <c r="F2" t="s">
        <v>113</v>
      </c>
      <c r="G2" t="s">
        <v>114</v>
      </c>
      <c r="H2" t="s">
        <v>115</v>
      </c>
      <c r="I2" t="s">
        <v>116</v>
      </c>
      <c r="J2" s="19" t="s">
        <v>117</v>
      </c>
      <c r="K2" t="s">
        <v>118</v>
      </c>
      <c r="L2" t="s">
        <v>2</v>
      </c>
    </row>
    <row r="3" spans="1:12" ht="14.45">
      <c r="A3" t="s">
        <v>119</v>
      </c>
      <c r="B3" t="s">
        <v>120</v>
      </c>
      <c r="C3">
        <v>2013</v>
      </c>
      <c r="D3" t="s">
        <v>121</v>
      </c>
      <c r="E3" t="s">
        <v>122</v>
      </c>
      <c r="F3">
        <v>4</v>
      </c>
      <c r="G3" t="s">
        <v>123</v>
      </c>
      <c r="H3">
        <v>256</v>
      </c>
      <c r="I3" t="s">
        <v>124</v>
      </c>
      <c r="J3" s="19">
        <v>100</v>
      </c>
      <c r="K3" s="1"/>
      <c r="L3">
        <v>81</v>
      </c>
    </row>
    <row r="4" spans="1:12" ht="14.45">
      <c r="A4" t="s">
        <v>125</v>
      </c>
      <c r="B4" t="s">
        <v>126</v>
      </c>
      <c r="C4">
        <v>2017</v>
      </c>
      <c r="D4" t="s">
        <v>127</v>
      </c>
      <c r="E4" t="s">
        <v>122</v>
      </c>
      <c r="F4">
        <v>8</v>
      </c>
      <c r="G4" t="s">
        <v>123</v>
      </c>
      <c r="H4">
        <v>256</v>
      </c>
      <c r="I4" t="s">
        <v>124</v>
      </c>
      <c r="J4" s="19">
        <v>200</v>
      </c>
      <c r="K4" s="1"/>
      <c r="L4">
        <v>59</v>
      </c>
    </row>
    <row r="5" spans="1:12" ht="14.45">
      <c r="A5" t="s">
        <v>128</v>
      </c>
      <c r="B5" t="s">
        <v>120</v>
      </c>
      <c r="C5">
        <v>2018</v>
      </c>
      <c r="D5" t="s">
        <v>129</v>
      </c>
      <c r="E5" t="s">
        <v>122</v>
      </c>
      <c r="F5">
        <v>8</v>
      </c>
      <c r="G5" t="s">
        <v>130</v>
      </c>
      <c r="H5">
        <v>256</v>
      </c>
      <c r="I5" t="s">
        <v>124</v>
      </c>
      <c r="J5" s="19">
        <v>175</v>
      </c>
      <c r="K5" s="1"/>
      <c r="L5">
        <v>84</v>
      </c>
    </row>
    <row r="6" spans="1:12" ht="14.45">
      <c r="K6" s="1"/>
    </row>
    <row r="7" spans="1:12" ht="14.45">
      <c r="A7" t="s">
        <v>128</v>
      </c>
      <c r="B7" t="s">
        <v>120</v>
      </c>
      <c r="C7">
        <v>2018</v>
      </c>
      <c r="D7" t="s">
        <v>131</v>
      </c>
      <c r="E7" t="s">
        <v>122</v>
      </c>
      <c r="F7">
        <v>8</v>
      </c>
      <c r="G7" t="s">
        <v>130</v>
      </c>
      <c r="H7">
        <v>256</v>
      </c>
      <c r="I7" t="s">
        <v>124</v>
      </c>
      <c r="J7" s="19">
        <v>175</v>
      </c>
      <c r="K7" s="1"/>
      <c r="L7">
        <v>85</v>
      </c>
    </row>
    <row r="8" spans="1:12" ht="14.45">
      <c r="A8" t="s">
        <v>84</v>
      </c>
      <c r="B8" t="s">
        <v>120</v>
      </c>
      <c r="C8">
        <v>2018</v>
      </c>
      <c r="D8" t="s">
        <v>132</v>
      </c>
      <c r="E8" t="s">
        <v>122</v>
      </c>
      <c r="F8">
        <v>8</v>
      </c>
      <c r="G8" t="s">
        <v>130</v>
      </c>
      <c r="H8">
        <v>256</v>
      </c>
      <c r="I8" t="s">
        <v>124</v>
      </c>
      <c r="J8" s="19">
        <v>175</v>
      </c>
      <c r="K8" s="1"/>
      <c r="L8">
        <v>103</v>
      </c>
    </row>
    <row r="9" spans="1:12" ht="14.45">
      <c r="A9" t="s">
        <v>133</v>
      </c>
      <c r="B9" t="s">
        <v>120</v>
      </c>
      <c r="C9">
        <v>2018</v>
      </c>
      <c r="D9" t="s">
        <v>134</v>
      </c>
      <c r="E9" t="s">
        <v>122</v>
      </c>
      <c r="F9">
        <v>8</v>
      </c>
      <c r="G9" t="s">
        <v>130</v>
      </c>
      <c r="H9">
        <v>256</v>
      </c>
      <c r="I9" t="s">
        <v>124</v>
      </c>
      <c r="J9" s="19">
        <v>150</v>
      </c>
      <c r="K9" s="1"/>
      <c r="L9">
        <v>83</v>
      </c>
    </row>
    <row r="10" spans="1:12" ht="14.45">
      <c r="K10" s="1"/>
    </row>
    <row r="11" spans="1:12" ht="14.45">
      <c r="A11" t="s">
        <v>135</v>
      </c>
      <c r="B11" t="s">
        <v>126</v>
      </c>
      <c r="C11">
        <v>2020</v>
      </c>
      <c r="D11" t="s">
        <v>136</v>
      </c>
      <c r="E11" t="s">
        <v>137</v>
      </c>
      <c r="F11">
        <v>8</v>
      </c>
      <c r="G11" t="s">
        <v>130</v>
      </c>
      <c r="H11">
        <v>256</v>
      </c>
      <c r="I11" t="s">
        <v>124</v>
      </c>
      <c r="J11" s="19">
        <v>300</v>
      </c>
      <c r="K11" s="1"/>
      <c r="L11">
        <v>68</v>
      </c>
    </row>
    <row r="12" spans="1:12" ht="14.45">
      <c r="A12" t="s">
        <v>138</v>
      </c>
      <c r="B12" t="s">
        <v>120</v>
      </c>
      <c r="C12">
        <v>2014</v>
      </c>
      <c r="D12" t="s">
        <v>139</v>
      </c>
      <c r="E12" t="s">
        <v>122</v>
      </c>
      <c r="F12">
        <v>8</v>
      </c>
      <c r="G12" t="s">
        <v>123</v>
      </c>
      <c r="H12">
        <v>256</v>
      </c>
      <c r="I12" t="s">
        <v>124</v>
      </c>
      <c r="J12" s="2">
        <v>175</v>
      </c>
      <c r="L12">
        <v>110</v>
      </c>
    </row>
    <row r="13" spans="1:12" ht="14.45">
      <c r="A13" t="s">
        <v>140</v>
      </c>
      <c r="B13" t="s">
        <v>126</v>
      </c>
      <c r="C13">
        <v>2018</v>
      </c>
      <c r="D13" t="s">
        <v>141</v>
      </c>
      <c r="E13" t="s">
        <v>137</v>
      </c>
      <c r="F13">
        <v>8</v>
      </c>
      <c r="G13" t="s">
        <v>130</v>
      </c>
      <c r="H13">
        <v>256</v>
      </c>
      <c r="I13" t="s">
        <v>124</v>
      </c>
      <c r="J13" s="19">
        <v>120</v>
      </c>
      <c r="K13" s="1"/>
      <c r="L13">
        <v>61</v>
      </c>
    </row>
    <row r="14" spans="1:12" ht="15" customHeight="1">
      <c r="A14" t="s">
        <v>128</v>
      </c>
      <c r="B14" t="s">
        <v>126</v>
      </c>
      <c r="C14">
        <v>2018</v>
      </c>
      <c r="D14" t="s">
        <v>132</v>
      </c>
      <c r="E14" t="s">
        <v>122</v>
      </c>
      <c r="F14">
        <v>8</v>
      </c>
      <c r="G14" t="s">
        <v>130</v>
      </c>
      <c r="H14">
        <v>256</v>
      </c>
      <c r="I14" t="s">
        <v>124</v>
      </c>
      <c r="J14" s="19">
        <v>175</v>
      </c>
      <c r="K14" s="1"/>
      <c r="L14">
        <v>88</v>
      </c>
    </row>
    <row r="15" spans="1:12" ht="15" customHeight="1">
      <c r="A15" t="s">
        <v>142</v>
      </c>
      <c r="B15" t="s">
        <v>126</v>
      </c>
      <c r="C15">
        <v>2013</v>
      </c>
      <c r="D15" t="s">
        <v>143</v>
      </c>
      <c r="E15" t="s">
        <v>122</v>
      </c>
      <c r="F15">
        <v>8</v>
      </c>
      <c r="G15" t="s">
        <v>123</v>
      </c>
      <c r="H15">
        <v>256</v>
      </c>
      <c r="I15" t="s">
        <v>124</v>
      </c>
      <c r="J15" s="19">
        <v>150</v>
      </c>
      <c r="K15" s="1"/>
      <c r="L15">
        <v>57</v>
      </c>
    </row>
    <row r="16" spans="1:12" ht="15" customHeight="1">
      <c r="A16" t="s">
        <v>144</v>
      </c>
      <c r="B16" t="s">
        <v>126</v>
      </c>
      <c r="C16">
        <v>2019</v>
      </c>
      <c r="D16" t="s">
        <v>145</v>
      </c>
      <c r="E16" t="s">
        <v>137</v>
      </c>
      <c r="F16">
        <v>8</v>
      </c>
      <c r="G16" t="s">
        <v>130</v>
      </c>
      <c r="H16">
        <v>256</v>
      </c>
      <c r="I16" t="s">
        <v>124</v>
      </c>
      <c r="J16" s="19">
        <v>265</v>
      </c>
      <c r="K16" s="1"/>
      <c r="L16">
        <v>56</v>
      </c>
    </row>
    <row r="17" spans="1:12" ht="15" customHeight="1">
      <c r="A17" t="s">
        <v>146</v>
      </c>
      <c r="B17" t="s">
        <v>126</v>
      </c>
      <c r="C17">
        <v>2014</v>
      </c>
      <c r="D17" t="s">
        <v>147</v>
      </c>
      <c r="E17" t="s">
        <v>148</v>
      </c>
      <c r="F17">
        <v>8</v>
      </c>
      <c r="G17" t="s">
        <v>123</v>
      </c>
      <c r="H17">
        <v>256</v>
      </c>
      <c r="I17" t="s">
        <v>124</v>
      </c>
      <c r="J17" s="19">
        <v>100</v>
      </c>
      <c r="K17" s="1"/>
      <c r="L17">
        <v>108</v>
      </c>
    </row>
    <row r="18" spans="1:12" ht="15" customHeight="1">
      <c r="A18" t="s">
        <v>149</v>
      </c>
      <c r="B18" t="s">
        <v>126</v>
      </c>
      <c r="C18">
        <v>2019</v>
      </c>
      <c r="D18" t="s">
        <v>150</v>
      </c>
      <c r="E18" t="s">
        <v>122</v>
      </c>
      <c r="F18">
        <v>8</v>
      </c>
      <c r="G18" t="s">
        <v>130</v>
      </c>
      <c r="H18">
        <v>256</v>
      </c>
      <c r="I18" t="s">
        <v>124</v>
      </c>
      <c r="J18" s="19">
        <v>300</v>
      </c>
      <c r="K18" s="1"/>
      <c r="L18">
        <v>115</v>
      </c>
    </row>
    <row r="19" spans="1:12" ht="15" customHeight="1">
      <c r="A19" t="s">
        <v>149</v>
      </c>
      <c r="B19" t="s">
        <v>126</v>
      </c>
      <c r="C19">
        <v>2019</v>
      </c>
      <c r="D19" t="s">
        <v>150</v>
      </c>
      <c r="E19" t="s">
        <v>137</v>
      </c>
      <c r="F19">
        <v>8</v>
      </c>
      <c r="G19" t="s">
        <v>130</v>
      </c>
      <c r="H19">
        <v>256</v>
      </c>
      <c r="I19" t="s">
        <v>124</v>
      </c>
      <c r="J19" s="19">
        <v>300</v>
      </c>
      <c r="K19" s="1"/>
      <c r="L19">
        <v>114</v>
      </c>
    </row>
    <row r="20" spans="1:12" ht="15" customHeight="1">
      <c r="A20" t="s">
        <v>151</v>
      </c>
      <c r="B20" t="s">
        <v>126</v>
      </c>
      <c r="C20">
        <v>2021</v>
      </c>
      <c r="D20" t="s">
        <v>152</v>
      </c>
      <c r="E20" t="s">
        <v>137</v>
      </c>
      <c r="F20">
        <v>8</v>
      </c>
      <c r="G20" t="s">
        <v>130</v>
      </c>
      <c r="H20">
        <v>256</v>
      </c>
      <c r="I20" t="s">
        <v>124</v>
      </c>
      <c r="J20" s="19">
        <v>350</v>
      </c>
      <c r="K20" s="1"/>
      <c r="L20">
        <v>113</v>
      </c>
    </row>
    <row r="21" spans="1:12" ht="15" customHeight="1">
      <c r="A21" t="s">
        <v>151</v>
      </c>
      <c r="B21" t="s">
        <v>126</v>
      </c>
      <c r="C21">
        <v>2021</v>
      </c>
      <c r="D21" t="s">
        <v>152</v>
      </c>
      <c r="E21" t="s">
        <v>137</v>
      </c>
      <c r="F21">
        <v>8</v>
      </c>
      <c r="G21" t="s">
        <v>130</v>
      </c>
      <c r="H21">
        <v>256</v>
      </c>
      <c r="I21" t="s">
        <v>124</v>
      </c>
      <c r="J21" s="19">
        <v>350</v>
      </c>
      <c r="K21" s="1"/>
      <c r="L21">
        <v>117</v>
      </c>
    </row>
    <row r="22" spans="1:12" ht="15" customHeight="1">
      <c r="A22" t="s">
        <v>61</v>
      </c>
      <c r="B22" s="4" t="s">
        <v>120</v>
      </c>
      <c r="C22">
        <v>2016</v>
      </c>
      <c r="D22" t="s">
        <v>153</v>
      </c>
      <c r="E22" t="s">
        <v>122</v>
      </c>
      <c r="F22">
        <v>16</v>
      </c>
      <c r="G22" t="s">
        <v>130</v>
      </c>
      <c r="H22">
        <v>256</v>
      </c>
      <c r="I22" t="s">
        <v>124</v>
      </c>
      <c r="J22" s="19">
        <v>255</v>
      </c>
      <c r="K22" s="1"/>
      <c r="L22">
        <v>11</v>
      </c>
    </row>
    <row r="23" spans="1:12" ht="15" customHeight="1">
      <c r="A23" t="s">
        <v>154</v>
      </c>
      <c r="B23" t="s">
        <v>126</v>
      </c>
      <c r="C23">
        <v>2019</v>
      </c>
      <c r="D23" t="s">
        <v>155</v>
      </c>
      <c r="E23" t="s">
        <v>137</v>
      </c>
      <c r="F23">
        <v>16</v>
      </c>
      <c r="G23" t="s">
        <v>130</v>
      </c>
      <c r="H23">
        <v>256</v>
      </c>
      <c r="I23" t="s">
        <v>124</v>
      </c>
      <c r="J23" s="19">
        <v>300</v>
      </c>
      <c r="K23" s="1"/>
      <c r="L23">
        <v>55</v>
      </c>
    </row>
    <row r="24" spans="1:12" ht="15" customHeight="1">
      <c r="A24" t="s">
        <v>57</v>
      </c>
      <c r="B24" t="s">
        <v>120</v>
      </c>
      <c r="C24">
        <v>2015</v>
      </c>
      <c r="D24" t="s">
        <v>153</v>
      </c>
      <c r="E24" t="s">
        <v>137</v>
      </c>
      <c r="F24">
        <v>16</v>
      </c>
      <c r="G24" t="s">
        <v>130</v>
      </c>
      <c r="H24">
        <v>256</v>
      </c>
      <c r="I24" t="s">
        <v>124</v>
      </c>
      <c r="J24" s="19">
        <v>255</v>
      </c>
      <c r="K24" s="1"/>
      <c r="L24">
        <v>8</v>
      </c>
    </row>
    <row r="25" spans="1:12" ht="15" customHeight="1">
      <c r="A25" t="s">
        <v>128</v>
      </c>
      <c r="B25" t="s">
        <v>120</v>
      </c>
      <c r="C25">
        <v>2018</v>
      </c>
      <c r="D25" t="s">
        <v>132</v>
      </c>
      <c r="E25" t="s">
        <v>122</v>
      </c>
      <c r="F25">
        <v>8</v>
      </c>
      <c r="G25" t="s">
        <v>130</v>
      </c>
      <c r="H25">
        <v>256</v>
      </c>
      <c r="I25" t="s">
        <v>124</v>
      </c>
      <c r="J25" s="19">
        <v>175</v>
      </c>
      <c r="K25" s="1"/>
      <c r="L25">
        <v>86</v>
      </c>
    </row>
    <row r="26" spans="1:12" ht="15" customHeight="1">
      <c r="A26" t="s">
        <v>156</v>
      </c>
      <c r="B26" t="s">
        <v>126</v>
      </c>
      <c r="C26">
        <v>2017</v>
      </c>
      <c r="D26" t="s">
        <v>157</v>
      </c>
      <c r="E26" t="s">
        <v>122</v>
      </c>
      <c r="F26">
        <v>8</v>
      </c>
      <c r="G26" t="s">
        <v>130</v>
      </c>
      <c r="H26">
        <v>256</v>
      </c>
      <c r="I26" t="s">
        <v>124</v>
      </c>
      <c r="J26" s="19">
        <v>150</v>
      </c>
      <c r="K26" s="1"/>
      <c r="L26">
        <v>119</v>
      </c>
    </row>
    <row r="27" spans="1:12" ht="15" customHeight="1">
      <c r="A27" t="s">
        <v>46</v>
      </c>
      <c r="B27" t="s">
        <v>126</v>
      </c>
      <c r="C27">
        <v>2017</v>
      </c>
      <c r="D27" t="s">
        <v>157</v>
      </c>
      <c r="E27" t="s">
        <v>137</v>
      </c>
      <c r="F27">
        <v>8</v>
      </c>
      <c r="G27" t="s">
        <v>130</v>
      </c>
      <c r="H27">
        <v>256</v>
      </c>
      <c r="I27" t="s">
        <v>124</v>
      </c>
      <c r="J27" s="19">
        <v>200</v>
      </c>
      <c r="K27" s="1"/>
      <c r="L27">
        <v>125</v>
      </c>
    </row>
    <row r="28" spans="1:12" ht="15" customHeight="1">
      <c r="A28" s="4" t="s">
        <v>64</v>
      </c>
      <c r="B28" t="s">
        <v>120</v>
      </c>
      <c r="C28">
        <v>2013</v>
      </c>
      <c r="D28" t="s">
        <v>158</v>
      </c>
      <c r="E28" t="s">
        <v>122</v>
      </c>
      <c r="F28">
        <v>8</v>
      </c>
      <c r="G28" t="s">
        <v>123</v>
      </c>
      <c r="H28">
        <v>256</v>
      </c>
      <c r="I28" t="s">
        <v>124</v>
      </c>
      <c r="J28" s="19">
        <v>200</v>
      </c>
      <c r="K28" s="1"/>
      <c r="L28">
        <v>34</v>
      </c>
    </row>
    <row r="29" spans="1:12" ht="15" customHeight="1">
      <c r="A29" t="s">
        <v>159</v>
      </c>
      <c r="B29" t="s">
        <v>126</v>
      </c>
      <c r="C29">
        <v>2018</v>
      </c>
      <c r="D29" t="s">
        <v>160</v>
      </c>
      <c r="E29" t="s">
        <v>137</v>
      </c>
      <c r="F29">
        <v>16</v>
      </c>
      <c r="G29" t="s">
        <v>130</v>
      </c>
      <c r="H29">
        <v>256</v>
      </c>
      <c r="I29" t="s">
        <v>124</v>
      </c>
      <c r="J29" s="19">
        <v>325</v>
      </c>
      <c r="K29" s="1"/>
      <c r="L29">
        <v>126</v>
      </c>
    </row>
    <row r="30" spans="1:12" ht="15" customHeight="1">
      <c r="K30" s="1"/>
    </row>
    <row r="31" spans="1:12" ht="15" customHeight="1">
      <c r="K31" s="1"/>
    </row>
    <row r="32" spans="1:12" ht="15" customHeight="1">
      <c r="K32" s="1"/>
    </row>
    <row r="33" spans="11:11" ht="15" customHeight="1">
      <c r="K33" s="1"/>
    </row>
  </sheetData>
  <mergeCells count="1">
    <mergeCell ref="A1:L1"/>
  </mergeCells>
  <conditionalFormatting sqref="A27:A28">
    <cfRule type="expression" dxfId="21" priority="17">
      <formula>ISEVEN(ROW())</formula>
    </cfRule>
    <cfRule type="expression" dxfId="20" priority="18">
      <formula>ISODD(ROW())</formula>
    </cfRule>
  </conditionalFormatting>
  <conditionalFormatting sqref="A3:K9 A11:K14 A15:C15 E15:K15 A16:K25">
    <cfRule type="expression" dxfId="19" priority="21">
      <formula>ISEVEN(ROW())</formula>
    </cfRule>
  </conditionalFormatting>
  <conditionalFormatting sqref="A3:L9 A11:L14 A15:C15 E15:L15 A16:L25">
    <cfRule type="expression" dxfId="18" priority="22">
      <formula>ISODD(ROW())</formula>
    </cfRule>
  </conditionalFormatting>
  <conditionalFormatting sqref="G26:G29">
    <cfRule type="expression" dxfId="17" priority="9">
      <formula>ISEVEN(ROW())</formula>
    </cfRule>
    <cfRule type="expression" dxfId="16" priority="10">
      <formula>ISODD(ROW())</formula>
    </cfRule>
  </conditionalFormatting>
  <conditionalFormatting sqref="H26:H29">
    <cfRule type="expression" dxfId="15" priority="1">
      <formula>ISEVEN(ROW())</formula>
    </cfRule>
    <cfRule type="expression" dxfId="14" priority="2">
      <formula>ISODD(ROW())</formula>
    </cfRule>
  </conditionalFormatting>
  <dataValidations count="2">
    <dataValidation type="whole" allowBlank="1" showInputMessage="1" showErrorMessage="1" sqref="L12:L25 L3:L4" xr:uid="{BD4480FF-AB8D-4446-AB7A-01C4C2A99ADB}">
      <formula1>1</formula1>
      <formula2>2000</formula2>
    </dataValidation>
    <dataValidation type="list" allowBlank="1" showInputMessage="1" showErrorMessage="1" sqref="B3:B4 B13:B21 B23:B25" xr:uid="{23899482-37F4-4DDA-A40C-55EF7962BD79}">
      <formula1>"Desktop,Laptop,Tablet,All-In-One"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144A-BB57-4446-B714-000D1D9FAB4A}">
  <dimension ref="A1:O59"/>
  <sheetViews>
    <sheetView topLeftCell="F1" workbookViewId="0">
      <selection activeCell="O10" sqref="O10"/>
    </sheetView>
  </sheetViews>
  <sheetFormatPr defaultRowHeight="15" customHeight="1"/>
  <cols>
    <col min="1" max="1" width="28.7109375" bestFit="1" customWidth="1"/>
    <col min="2" max="2" width="15" bestFit="1" customWidth="1"/>
    <col min="3" max="3" width="10.28515625" bestFit="1" customWidth="1"/>
    <col min="4" max="4" width="17.42578125" bestFit="1" customWidth="1"/>
    <col min="5" max="5" width="10.7109375" bestFit="1" customWidth="1"/>
    <col min="6" max="6" width="19.140625" bestFit="1" customWidth="1"/>
    <col min="7" max="7" width="19.140625" customWidth="1"/>
    <col min="8" max="8" width="9.5703125" bestFit="1" customWidth="1"/>
    <col min="9" max="9" width="11.7109375" bestFit="1" customWidth="1"/>
    <col min="10" max="10" width="11.28515625" style="19" bestFit="1" customWidth="1"/>
    <col min="11" max="11" width="25.28515625" customWidth="1"/>
    <col min="12" max="12" width="16.85546875" style="16" customWidth="1"/>
    <col min="13" max="13" width="29.140625" customWidth="1"/>
    <col min="14" max="14" width="27.7109375" customWidth="1"/>
    <col min="15" max="15" width="28.28515625" customWidth="1"/>
  </cols>
  <sheetData>
    <row r="1" spans="1:15" ht="15" customHeight="1">
      <c r="B1" s="17" t="s">
        <v>161</v>
      </c>
      <c r="C1" s="18"/>
      <c r="D1" s="18"/>
      <c r="E1" s="18"/>
      <c r="F1" s="18"/>
      <c r="G1" s="18"/>
      <c r="H1" s="18"/>
      <c r="I1" s="18"/>
      <c r="J1" s="20"/>
      <c r="K1" s="18"/>
      <c r="L1" s="22"/>
      <c r="M1" s="18"/>
      <c r="N1" t="s">
        <v>162</v>
      </c>
      <c r="O1" t="s">
        <v>163</v>
      </c>
    </row>
    <row r="2" spans="1:15" ht="14.45">
      <c r="A2" t="s">
        <v>108</v>
      </c>
      <c r="B2" t="s">
        <v>109</v>
      </c>
      <c r="C2" t="s">
        <v>110</v>
      </c>
      <c r="D2" t="s">
        <v>111</v>
      </c>
      <c r="E2" t="s">
        <v>112</v>
      </c>
      <c r="F2" t="s">
        <v>113</v>
      </c>
      <c r="G2" t="s">
        <v>114</v>
      </c>
      <c r="H2" t="s">
        <v>115</v>
      </c>
      <c r="I2" t="s">
        <v>116</v>
      </c>
      <c r="J2" s="19" t="s">
        <v>117</v>
      </c>
      <c r="K2" t="s">
        <v>118</v>
      </c>
      <c r="L2" s="16" t="s">
        <v>164</v>
      </c>
      <c r="M2" t="s">
        <v>165</v>
      </c>
      <c r="N2" s="2">
        <f>SUM(J3:J38)</f>
        <v>9870</v>
      </c>
      <c r="O2">
        <f>COUNTIF(M3:M42,"*International*")</f>
        <v>38</v>
      </c>
    </row>
    <row r="3" spans="1:15" ht="14.45">
      <c r="A3" t="s">
        <v>166</v>
      </c>
      <c r="B3" t="s">
        <v>126</v>
      </c>
      <c r="C3">
        <v>2019</v>
      </c>
      <c r="H3">
        <v>256</v>
      </c>
      <c r="I3" t="s">
        <v>124</v>
      </c>
      <c r="J3" s="19">
        <v>225</v>
      </c>
      <c r="K3" s="2"/>
      <c r="L3" s="15">
        <v>45970</v>
      </c>
      <c r="M3" t="s">
        <v>167</v>
      </c>
    </row>
    <row r="4" spans="1:15" ht="14.45">
      <c r="A4" t="s">
        <v>166</v>
      </c>
      <c r="B4" t="s">
        <v>126</v>
      </c>
      <c r="C4">
        <v>2019</v>
      </c>
      <c r="H4">
        <v>256</v>
      </c>
      <c r="I4" t="s">
        <v>124</v>
      </c>
      <c r="J4" s="19">
        <v>225</v>
      </c>
      <c r="K4" s="2"/>
      <c r="L4" s="15">
        <v>45970</v>
      </c>
      <c r="M4" t="s">
        <v>167</v>
      </c>
    </row>
    <row r="5" spans="1:15" ht="14.45">
      <c r="A5" t="s">
        <v>166</v>
      </c>
      <c r="B5" t="s">
        <v>126</v>
      </c>
      <c r="C5">
        <v>2019</v>
      </c>
      <c r="H5">
        <v>256</v>
      </c>
      <c r="I5" t="s">
        <v>124</v>
      </c>
      <c r="J5" s="19">
        <v>225</v>
      </c>
      <c r="K5" s="2"/>
      <c r="L5" s="15">
        <v>45970</v>
      </c>
      <c r="M5" t="s">
        <v>167</v>
      </c>
    </row>
    <row r="6" spans="1:15" ht="14.45">
      <c r="A6" t="s">
        <v>166</v>
      </c>
      <c r="B6" t="s">
        <v>126</v>
      </c>
      <c r="C6">
        <v>2019</v>
      </c>
      <c r="H6">
        <v>256</v>
      </c>
      <c r="I6" t="s">
        <v>124</v>
      </c>
      <c r="J6" s="19">
        <v>225</v>
      </c>
      <c r="K6" s="2"/>
      <c r="L6" s="15">
        <v>45970</v>
      </c>
      <c r="M6" t="s">
        <v>167</v>
      </c>
    </row>
    <row r="7" spans="1:15" ht="14.45">
      <c r="A7" t="s">
        <v>166</v>
      </c>
      <c r="B7" t="s">
        <v>126</v>
      </c>
      <c r="C7">
        <v>2019</v>
      </c>
      <c r="H7">
        <v>256</v>
      </c>
      <c r="I7" t="s">
        <v>124</v>
      </c>
      <c r="J7" s="19">
        <v>225</v>
      </c>
      <c r="K7" s="2"/>
      <c r="L7" s="15">
        <v>45970</v>
      </c>
      <c r="M7" t="s">
        <v>167</v>
      </c>
    </row>
    <row r="8" spans="1:15" ht="14.45">
      <c r="A8" t="s">
        <v>166</v>
      </c>
      <c r="B8" t="s">
        <v>126</v>
      </c>
      <c r="C8">
        <v>2019</v>
      </c>
      <c r="H8">
        <v>256</v>
      </c>
      <c r="I8" t="s">
        <v>124</v>
      </c>
      <c r="J8" s="19">
        <v>225</v>
      </c>
      <c r="K8" s="2"/>
      <c r="L8" s="15">
        <v>45970</v>
      </c>
      <c r="M8" t="s">
        <v>167</v>
      </c>
    </row>
    <row r="9" spans="1:15" ht="14.45">
      <c r="A9" t="s">
        <v>166</v>
      </c>
      <c r="B9" t="s">
        <v>126</v>
      </c>
      <c r="C9">
        <v>2019</v>
      </c>
      <c r="H9">
        <v>256</v>
      </c>
      <c r="I9" t="s">
        <v>124</v>
      </c>
      <c r="J9" s="19">
        <v>225</v>
      </c>
      <c r="K9" s="2"/>
      <c r="L9" s="15">
        <v>45970</v>
      </c>
      <c r="M9" t="s">
        <v>167</v>
      </c>
    </row>
    <row r="10" spans="1:15" ht="14.45">
      <c r="A10" t="s">
        <v>168</v>
      </c>
      <c r="B10" t="s">
        <v>126</v>
      </c>
      <c r="C10">
        <v>2018</v>
      </c>
      <c r="D10" t="s">
        <v>169</v>
      </c>
      <c r="E10" t="s">
        <v>137</v>
      </c>
      <c r="F10">
        <v>16</v>
      </c>
      <c r="G10" t="s">
        <v>130</v>
      </c>
      <c r="H10">
        <v>256</v>
      </c>
      <c r="I10" t="s">
        <v>124</v>
      </c>
      <c r="J10" s="21">
        <v>325</v>
      </c>
      <c r="K10" s="3"/>
      <c r="L10" s="15">
        <v>45999</v>
      </c>
      <c r="M10" t="s">
        <v>167</v>
      </c>
    </row>
    <row r="11" spans="1:15" ht="14.45">
      <c r="A11" t="s">
        <v>170</v>
      </c>
      <c r="B11" t="s">
        <v>126</v>
      </c>
      <c r="C11">
        <v>2015</v>
      </c>
      <c r="D11" t="s">
        <v>171</v>
      </c>
      <c r="E11" t="s">
        <v>137</v>
      </c>
      <c r="F11">
        <v>8</v>
      </c>
      <c r="G11" t="s">
        <v>123</v>
      </c>
      <c r="H11">
        <v>256</v>
      </c>
      <c r="I11" t="s">
        <v>124</v>
      </c>
      <c r="J11" s="19">
        <v>225</v>
      </c>
      <c r="K11" s="2"/>
      <c r="L11" s="15">
        <v>45999</v>
      </c>
      <c r="M11" t="s">
        <v>167</v>
      </c>
    </row>
    <row r="12" spans="1:15" ht="14.45">
      <c r="A12" t="s">
        <v>172</v>
      </c>
      <c r="B12" t="s">
        <v>126</v>
      </c>
      <c r="C12">
        <v>2014</v>
      </c>
      <c r="D12" t="s">
        <v>173</v>
      </c>
      <c r="E12" t="s">
        <v>122</v>
      </c>
      <c r="F12">
        <v>8</v>
      </c>
      <c r="G12" t="s">
        <v>123</v>
      </c>
      <c r="H12">
        <v>256</v>
      </c>
      <c r="I12" t="s">
        <v>124</v>
      </c>
      <c r="J12" s="19">
        <v>175</v>
      </c>
      <c r="K12" s="1" t="s">
        <v>174</v>
      </c>
      <c r="L12" s="15">
        <v>45999</v>
      </c>
      <c r="M12" t="s">
        <v>167</v>
      </c>
    </row>
    <row r="13" spans="1:15" ht="14.45">
      <c r="A13" t="s">
        <v>175</v>
      </c>
      <c r="B13" t="s">
        <v>126</v>
      </c>
      <c r="C13">
        <v>2019</v>
      </c>
      <c r="D13" t="s">
        <v>176</v>
      </c>
      <c r="E13" t="s">
        <v>137</v>
      </c>
      <c r="F13">
        <v>16</v>
      </c>
      <c r="G13" t="s">
        <v>130</v>
      </c>
      <c r="H13">
        <v>256</v>
      </c>
      <c r="I13" t="s">
        <v>124</v>
      </c>
      <c r="J13" s="19">
        <v>325</v>
      </c>
      <c r="K13" s="2"/>
      <c r="L13" s="15">
        <v>45999</v>
      </c>
      <c r="M13" t="s">
        <v>167</v>
      </c>
    </row>
    <row r="14" spans="1:15" ht="14.45">
      <c r="A14" t="s">
        <v>168</v>
      </c>
      <c r="B14" t="s">
        <v>126</v>
      </c>
      <c r="C14">
        <v>2018</v>
      </c>
      <c r="D14" t="s">
        <v>169</v>
      </c>
      <c r="E14" t="s">
        <v>137</v>
      </c>
      <c r="F14">
        <v>16</v>
      </c>
      <c r="G14" t="s">
        <v>130</v>
      </c>
      <c r="H14">
        <v>256</v>
      </c>
      <c r="I14" t="s">
        <v>124</v>
      </c>
      <c r="J14" s="19">
        <v>325</v>
      </c>
      <c r="K14" s="2"/>
      <c r="L14" s="15">
        <v>45999</v>
      </c>
      <c r="M14" t="s">
        <v>167</v>
      </c>
    </row>
    <row r="15" spans="1:15" ht="14.45">
      <c r="A15" t="s">
        <v>177</v>
      </c>
      <c r="B15" t="s">
        <v>126</v>
      </c>
      <c r="C15">
        <v>2021</v>
      </c>
      <c r="D15" t="s">
        <v>178</v>
      </c>
      <c r="E15" t="s">
        <v>137</v>
      </c>
      <c r="F15">
        <v>16</v>
      </c>
      <c r="G15" t="s">
        <v>130</v>
      </c>
      <c r="H15">
        <v>256</v>
      </c>
      <c r="I15" t="s">
        <v>124</v>
      </c>
      <c r="J15" s="19">
        <v>205</v>
      </c>
      <c r="K15" s="2"/>
      <c r="L15" s="15">
        <v>45999</v>
      </c>
      <c r="M15" t="s">
        <v>167</v>
      </c>
    </row>
    <row r="16" spans="1:15" ht="14.45">
      <c r="A16" t="s">
        <v>179</v>
      </c>
      <c r="B16" t="s">
        <v>180</v>
      </c>
      <c r="C16">
        <v>2012</v>
      </c>
      <c r="D16" t="s">
        <v>181</v>
      </c>
      <c r="E16" t="s">
        <v>182</v>
      </c>
      <c r="F16">
        <v>1</v>
      </c>
      <c r="G16" t="s">
        <v>183</v>
      </c>
      <c r="H16" s="1">
        <v>64</v>
      </c>
      <c r="I16" t="s">
        <v>184</v>
      </c>
      <c r="J16" s="19">
        <v>50</v>
      </c>
      <c r="K16" s="1" t="s">
        <v>185</v>
      </c>
      <c r="L16" s="15">
        <v>45999</v>
      </c>
      <c r="M16" t="s">
        <v>167</v>
      </c>
    </row>
    <row r="17" spans="1:13" ht="14.45">
      <c r="A17" t="s">
        <v>186</v>
      </c>
      <c r="B17" t="s">
        <v>180</v>
      </c>
      <c r="C17">
        <v>2014</v>
      </c>
      <c r="D17" t="s">
        <v>181</v>
      </c>
      <c r="E17" t="s">
        <v>182</v>
      </c>
      <c r="F17">
        <v>2</v>
      </c>
      <c r="G17" t="s">
        <v>123</v>
      </c>
      <c r="H17">
        <v>128</v>
      </c>
      <c r="I17" t="s">
        <v>184</v>
      </c>
      <c r="J17" s="19">
        <v>60</v>
      </c>
      <c r="K17" s="1" t="s">
        <v>185</v>
      </c>
      <c r="L17" s="15">
        <v>45999</v>
      </c>
      <c r="M17" t="s">
        <v>167</v>
      </c>
    </row>
    <row r="18" spans="1:13" ht="14.45">
      <c r="A18" t="s">
        <v>187</v>
      </c>
      <c r="B18" t="s">
        <v>120</v>
      </c>
      <c r="C18">
        <v>2018</v>
      </c>
      <c r="D18" t="s">
        <v>188</v>
      </c>
      <c r="E18" t="s">
        <v>137</v>
      </c>
      <c r="F18">
        <v>8</v>
      </c>
      <c r="G18" t="s">
        <v>130</v>
      </c>
      <c r="H18">
        <v>256</v>
      </c>
      <c r="I18" t="s">
        <v>124</v>
      </c>
      <c r="J18" s="19">
        <v>250</v>
      </c>
      <c r="K18" s="1" t="s">
        <v>189</v>
      </c>
      <c r="L18" s="16">
        <v>46043</v>
      </c>
      <c r="M18" t="s">
        <v>190</v>
      </c>
    </row>
    <row r="19" spans="1:13" ht="14.45">
      <c r="A19" t="s">
        <v>64</v>
      </c>
      <c r="B19" t="s">
        <v>120</v>
      </c>
      <c r="C19">
        <v>2013</v>
      </c>
      <c r="D19" t="s">
        <v>191</v>
      </c>
      <c r="E19" t="s">
        <v>122</v>
      </c>
      <c r="F19">
        <v>8</v>
      </c>
      <c r="G19" t="s">
        <v>123</v>
      </c>
      <c r="H19">
        <v>256</v>
      </c>
      <c r="I19" t="s">
        <v>124</v>
      </c>
      <c r="J19" s="19">
        <v>290</v>
      </c>
      <c r="K19" s="1" t="s">
        <v>192</v>
      </c>
      <c r="L19" s="16">
        <v>46043</v>
      </c>
      <c r="M19" t="s">
        <v>190</v>
      </c>
    </row>
    <row r="20" spans="1:13" ht="28.9">
      <c r="A20" t="s">
        <v>61</v>
      </c>
      <c r="B20" t="s">
        <v>120</v>
      </c>
      <c r="C20">
        <v>2016</v>
      </c>
      <c r="D20" t="s">
        <v>193</v>
      </c>
      <c r="E20" t="s">
        <v>122</v>
      </c>
      <c r="F20">
        <v>16</v>
      </c>
      <c r="G20" t="s">
        <v>130</v>
      </c>
      <c r="H20">
        <v>256</v>
      </c>
      <c r="I20" t="s">
        <v>124</v>
      </c>
      <c r="J20" s="19">
        <v>300</v>
      </c>
      <c r="K20" s="1" t="s">
        <v>194</v>
      </c>
      <c r="L20" s="15">
        <v>46056</v>
      </c>
      <c r="M20" t="s">
        <v>195</v>
      </c>
    </row>
    <row r="21" spans="1:13" ht="14.45">
      <c r="A21" t="s">
        <v>196</v>
      </c>
      <c r="B21" t="s">
        <v>120</v>
      </c>
      <c r="C21">
        <v>2013</v>
      </c>
      <c r="D21" t="s">
        <v>197</v>
      </c>
      <c r="E21" t="s">
        <v>122</v>
      </c>
      <c r="F21">
        <v>8</v>
      </c>
      <c r="G21" t="s">
        <v>123</v>
      </c>
      <c r="H21">
        <v>256</v>
      </c>
      <c r="I21" t="s">
        <v>124</v>
      </c>
      <c r="J21" s="19">
        <v>200</v>
      </c>
      <c r="K21" s="1"/>
      <c r="L21" s="15">
        <v>46056</v>
      </c>
      <c r="M21" t="s">
        <v>195</v>
      </c>
    </row>
    <row r="22" spans="1:13" ht="14.45">
      <c r="A22" t="s">
        <v>64</v>
      </c>
      <c r="B22" t="s">
        <v>120</v>
      </c>
      <c r="C22">
        <v>2013</v>
      </c>
      <c r="D22" t="s">
        <v>198</v>
      </c>
      <c r="E22" t="s">
        <v>122</v>
      </c>
      <c r="F22">
        <v>8</v>
      </c>
      <c r="G22" t="s">
        <v>123</v>
      </c>
      <c r="H22">
        <v>256</v>
      </c>
      <c r="I22" t="s">
        <v>124</v>
      </c>
      <c r="J22" s="19">
        <v>200</v>
      </c>
      <c r="K22" s="1"/>
      <c r="L22" s="15">
        <v>46056</v>
      </c>
      <c r="M22" t="s">
        <v>195</v>
      </c>
    </row>
    <row r="23" spans="1:13" ht="14.45">
      <c r="A23" t="s">
        <v>64</v>
      </c>
      <c r="B23" t="s">
        <v>120</v>
      </c>
      <c r="C23">
        <v>2013</v>
      </c>
      <c r="D23" t="s">
        <v>198</v>
      </c>
      <c r="E23" t="s">
        <v>122</v>
      </c>
      <c r="F23">
        <v>8</v>
      </c>
      <c r="G23" t="s">
        <v>123</v>
      </c>
      <c r="H23">
        <v>256</v>
      </c>
      <c r="I23" t="s">
        <v>124</v>
      </c>
      <c r="J23" s="19">
        <v>200</v>
      </c>
      <c r="K23" s="1"/>
      <c r="L23" s="15">
        <v>46056</v>
      </c>
      <c r="M23" t="s">
        <v>195</v>
      </c>
    </row>
    <row r="24" spans="1:13" ht="14.45">
      <c r="A24" t="s">
        <v>64</v>
      </c>
      <c r="B24" t="s">
        <v>120</v>
      </c>
      <c r="C24">
        <v>2013</v>
      </c>
      <c r="D24" t="s">
        <v>198</v>
      </c>
      <c r="E24" t="s">
        <v>122</v>
      </c>
      <c r="F24">
        <v>8</v>
      </c>
      <c r="G24" t="s">
        <v>123</v>
      </c>
      <c r="H24">
        <v>256</v>
      </c>
      <c r="I24" t="s">
        <v>124</v>
      </c>
      <c r="J24" s="19">
        <v>200</v>
      </c>
      <c r="K24" s="1"/>
      <c r="L24" s="15">
        <v>46056</v>
      </c>
      <c r="M24" t="s">
        <v>195</v>
      </c>
    </row>
    <row r="25" spans="1:13" ht="14.45">
      <c r="A25" t="s">
        <v>64</v>
      </c>
      <c r="B25" t="s">
        <v>120</v>
      </c>
      <c r="C25">
        <v>2013</v>
      </c>
      <c r="D25" t="s">
        <v>198</v>
      </c>
      <c r="E25" t="s">
        <v>122</v>
      </c>
      <c r="F25">
        <v>16</v>
      </c>
      <c r="G25" t="s">
        <v>123</v>
      </c>
      <c r="H25">
        <v>256</v>
      </c>
      <c r="I25" t="s">
        <v>124</v>
      </c>
      <c r="J25" s="19">
        <v>200</v>
      </c>
      <c r="K25" s="1"/>
      <c r="L25" s="15">
        <v>46056</v>
      </c>
      <c r="M25" t="s">
        <v>195</v>
      </c>
    </row>
    <row r="26" spans="1:13" ht="14.45">
      <c r="A26" t="s">
        <v>61</v>
      </c>
      <c r="B26" t="s">
        <v>120</v>
      </c>
      <c r="C26">
        <v>2016</v>
      </c>
      <c r="D26" t="s">
        <v>193</v>
      </c>
      <c r="E26" t="s">
        <v>122</v>
      </c>
      <c r="F26">
        <v>16</v>
      </c>
      <c r="G26" t="s">
        <v>130</v>
      </c>
      <c r="H26">
        <v>256</v>
      </c>
      <c r="I26" t="s">
        <v>124</v>
      </c>
      <c r="J26" s="19">
        <v>300</v>
      </c>
      <c r="K26" s="1"/>
      <c r="L26" s="15">
        <v>46056</v>
      </c>
      <c r="M26" t="s">
        <v>195</v>
      </c>
    </row>
    <row r="27" spans="1:13" ht="14.45">
      <c r="A27" t="s">
        <v>61</v>
      </c>
      <c r="B27" t="s">
        <v>120</v>
      </c>
      <c r="C27">
        <v>2016</v>
      </c>
      <c r="D27" t="s">
        <v>193</v>
      </c>
      <c r="E27" t="s">
        <v>122</v>
      </c>
      <c r="F27">
        <v>8</v>
      </c>
      <c r="G27" t="s">
        <v>123</v>
      </c>
      <c r="H27">
        <v>256</v>
      </c>
      <c r="I27" t="s">
        <v>124</v>
      </c>
      <c r="J27" s="19">
        <v>300</v>
      </c>
      <c r="K27" s="1"/>
      <c r="L27" s="15">
        <v>46056</v>
      </c>
      <c r="M27" t="s">
        <v>195</v>
      </c>
    </row>
    <row r="28" spans="1:13" ht="14.45">
      <c r="A28" t="s">
        <v>199</v>
      </c>
      <c r="B28" t="s">
        <v>126</v>
      </c>
      <c r="C28">
        <v>2018</v>
      </c>
      <c r="D28" t="s">
        <v>200</v>
      </c>
      <c r="E28" t="s">
        <v>137</v>
      </c>
      <c r="F28">
        <v>16</v>
      </c>
      <c r="G28" t="s">
        <v>130</v>
      </c>
      <c r="H28">
        <v>512</v>
      </c>
      <c r="I28" t="s">
        <v>124</v>
      </c>
      <c r="J28" s="19">
        <v>445</v>
      </c>
      <c r="K28" s="1"/>
      <c r="L28" s="15">
        <v>46056</v>
      </c>
      <c r="M28" t="s">
        <v>195</v>
      </c>
    </row>
    <row r="29" spans="1:13" ht="14.45">
      <c r="A29" t="s">
        <v>199</v>
      </c>
      <c r="B29" t="s">
        <v>126</v>
      </c>
      <c r="C29">
        <v>2018</v>
      </c>
      <c r="D29" t="s">
        <v>200</v>
      </c>
      <c r="E29" t="s">
        <v>137</v>
      </c>
      <c r="F29">
        <v>16</v>
      </c>
      <c r="G29" t="s">
        <v>130</v>
      </c>
      <c r="H29">
        <v>512</v>
      </c>
      <c r="I29" t="s">
        <v>124</v>
      </c>
      <c r="J29" s="19">
        <v>445</v>
      </c>
      <c r="K29" s="1"/>
      <c r="L29" s="15">
        <v>46056</v>
      </c>
      <c r="M29" t="s">
        <v>195</v>
      </c>
    </row>
    <row r="30" spans="1:13" ht="14.45">
      <c r="A30" t="s">
        <v>128</v>
      </c>
      <c r="B30" t="s">
        <v>120</v>
      </c>
      <c r="C30">
        <v>2018</v>
      </c>
      <c r="D30" t="s">
        <v>201</v>
      </c>
      <c r="E30" t="s">
        <v>122</v>
      </c>
      <c r="F30">
        <v>8</v>
      </c>
      <c r="G30" t="s">
        <v>130</v>
      </c>
      <c r="H30">
        <v>256</v>
      </c>
      <c r="I30" t="s">
        <v>124</v>
      </c>
      <c r="J30" s="19">
        <v>150</v>
      </c>
      <c r="K30" s="1"/>
      <c r="L30" s="15">
        <v>46056</v>
      </c>
      <c r="M30" t="s">
        <v>195</v>
      </c>
    </row>
    <row r="31" spans="1:13" ht="14.45">
      <c r="A31" s="8" t="s">
        <v>61</v>
      </c>
      <c r="B31" t="s">
        <v>120</v>
      </c>
      <c r="C31">
        <v>2016</v>
      </c>
      <c r="D31" t="s">
        <v>193</v>
      </c>
      <c r="E31" t="s">
        <v>122</v>
      </c>
      <c r="F31">
        <v>8</v>
      </c>
      <c r="G31" t="s">
        <v>130</v>
      </c>
      <c r="H31">
        <v>500</v>
      </c>
      <c r="I31" t="s">
        <v>202</v>
      </c>
      <c r="J31" s="19">
        <v>300</v>
      </c>
      <c r="K31" s="1"/>
      <c r="L31" s="16">
        <v>46058</v>
      </c>
      <c r="M31" t="s">
        <v>195</v>
      </c>
    </row>
    <row r="32" spans="1:13" ht="14.45">
      <c r="A32" t="s">
        <v>61</v>
      </c>
      <c r="B32" t="s">
        <v>120</v>
      </c>
      <c r="C32">
        <v>2016</v>
      </c>
      <c r="D32" t="s">
        <v>193</v>
      </c>
      <c r="E32" t="s">
        <v>122</v>
      </c>
      <c r="F32">
        <v>8</v>
      </c>
      <c r="G32" t="s">
        <v>130</v>
      </c>
      <c r="H32">
        <v>256</v>
      </c>
      <c r="I32" t="s">
        <v>124</v>
      </c>
      <c r="J32" s="19">
        <v>300</v>
      </c>
      <c r="L32" s="16">
        <v>46058</v>
      </c>
      <c r="M32" t="s">
        <v>195</v>
      </c>
    </row>
    <row r="33" spans="1:13" ht="14.45">
      <c r="A33" t="s">
        <v>61</v>
      </c>
      <c r="B33" t="s">
        <v>120</v>
      </c>
      <c r="C33">
        <v>2016</v>
      </c>
      <c r="D33" t="s">
        <v>193</v>
      </c>
      <c r="E33" t="s">
        <v>122</v>
      </c>
      <c r="F33">
        <v>8</v>
      </c>
      <c r="G33" t="s">
        <v>130</v>
      </c>
      <c r="H33">
        <v>256</v>
      </c>
      <c r="I33" t="s">
        <v>124</v>
      </c>
      <c r="J33" s="19">
        <v>300</v>
      </c>
      <c r="L33" s="16">
        <v>46058</v>
      </c>
      <c r="M33" t="s">
        <v>195</v>
      </c>
    </row>
    <row r="34" spans="1:13" ht="14.45">
      <c r="A34" t="s">
        <v>203</v>
      </c>
      <c r="B34" t="s">
        <v>126</v>
      </c>
      <c r="C34">
        <v>2020</v>
      </c>
      <c r="D34" t="s">
        <v>200</v>
      </c>
      <c r="E34" t="s">
        <v>137</v>
      </c>
      <c r="F34">
        <v>16</v>
      </c>
      <c r="G34" t="s">
        <v>130</v>
      </c>
      <c r="H34">
        <v>512</v>
      </c>
      <c r="I34" t="s">
        <v>124</v>
      </c>
      <c r="J34" s="19">
        <v>445</v>
      </c>
      <c r="L34" s="16">
        <v>46058</v>
      </c>
      <c r="M34" t="s">
        <v>195</v>
      </c>
    </row>
    <row r="35" spans="1:13" ht="14.45">
      <c r="A35" t="s">
        <v>203</v>
      </c>
      <c r="B35" t="s">
        <v>126</v>
      </c>
      <c r="C35">
        <v>2020</v>
      </c>
      <c r="D35" t="s">
        <v>200</v>
      </c>
      <c r="E35" t="s">
        <v>137</v>
      </c>
      <c r="F35">
        <v>16</v>
      </c>
      <c r="G35" t="s">
        <v>130</v>
      </c>
      <c r="H35">
        <v>512</v>
      </c>
      <c r="I35" t="s">
        <v>124</v>
      </c>
      <c r="J35" s="19">
        <v>445</v>
      </c>
      <c r="L35" s="16">
        <v>46058</v>
      </c>
      <c r="M35" t="s">
        <v>195</v>
      </c>
    </row>
    <row r="36" spans="1:13" ht="14.45">
      <c r="A36" t="s">
        <v>203</v>
      </c>
      <c r="B36" t="s">
        <v>126</v>
      </c>
      <c r="C36">
        <v>2020</v>
      </c>
      <c r="D36" t="s">
        <v>200</v>
      </c>
      <c r="E36" t="s">
        <v>137</v>
      </c>
      <c r="F36">
        <v>16</v>
      </c>
      <c r="G36" t="s">
        <v>130</v>
      </c>
      <c r="H36">
        <v>512</v>
      </c>
      <c r="I36" t="s">
        <v>124</v>
      </c>
      <c r="J36" s="19">
        <v>445</v>
      </c>
      <c r="L36" s="16">
        <v>46058</v>
      </c>
      <c r="M36" t="s">
        <v>195</v>
      </c>
    </row>
    <row r="37" spans="1:13" ht="14.45">
      <c r="A37" t="s">
        <v>203</v>
      </c>
      <c r="B37" t="s">
        <v>126</v>
      </c>
      <c r="C37">
        <v>2020</v>
      </c>
      <c r="D37" t="s">
        <v>200</v>
      </c>
      <c r="E37" t="s">
        <v>137</v>
      </c>
      <c r="F37">
        <v>16</v>
      </c>
      <c r="G37" t="s">
        <v>130</v>
      </c>
      <c r="H37">
        <v>512</v>
      </c>
      <c r="I37" t="s">
        <v>124</v>
      </c>
      <c r="J37" s="19">
        <v>445</v>
      </c>
      <c r="L37" s="16">
        <v>46058</v>
      </c>
      <c r="M37" t="s">
        <v>195</v>
      </c>
    </row>
    <row r="38" spans="1:13" ht="14.45">
      <c r="A38" t="s">
        <v>203</v>
      </c>
      <c r="B38" t="s">
        <v>126</v>
      </c>
      <c r="C38">
        <v>2020</v>
      </c>
      <c r="D38" t="s">
        <v>200</v>
      </c>
      <c r="E38" t="s">
        <v>137</v>
      </c>
      <c r="F38">
        <v>16</v>
      </c>
      <c r="G38" t="s">
        <v>130</v>
      </c>
      <c r="H38">
        <v>512</v>
      </c>
      <c r="I38" t="s">
        <v>124</v>
      </c>
      <c r="J38" s="19">
        <v>445</v>
      </c>
      <c r="L38" s="16">
        <v>46058</v>
      </c>
      <c r="M38" t="s">
        <v>195</v>
      </c>
    </row>
    <row r="39" spans="1:13" ht="14.45">
      <c r="A39" t="s">
        <v>203</v>
      </c>
      <c r="B39" t="s">
        <v>126</v>
      </c>
      <c r="C39">
        <v>2020</v>
      </c>
      <c r="D39" t="s">
        <v>200</v>
      </c>
      <c r="E39" t="s">
        <v>137</v>
      </c>
      <c r="F39">
        <v>16</v>
      </c>
      <c r="G39" t="s">
        <v>130</v>
      </c>
      <c r="H39">
        <v>512</v>
      </c>
      <c r="I39" t="s">
        <v>124</v>
      </c>
      <c r="J39" s="19">
        <v>445</v>
      </c>
      <c r="L39" s="16">
        <v>46058</v>
      </c>
      <c r="M39" t="s">
        <v>195</v>
      </c>
    </row>
    <row r="40" spans="1:13" ht="15" customHeight="1">
      <c r="A40" t="s">
        <v>203</v>
      </c>
      <c r="B40" t="s">
        <v>126</v>
      </c>
      <c r="C40">
        <v>2020</v>
      </c>
      <c r="D40" t="s">
        <v>200</v>
      </c>
      <c r="E40" t="s">
        <v>137</v>
      </c>
      <c r="F40">
        <v>16</v>
      </c>
      <c r="G40" t="s">
        <v>130</v>
      </c>
      <c r="H40">
        <v>512</v>
      </c>
      <c r="I40" t="s">
        <v>124</v>
      </c>
      <c r="J40" s="19">
        <v>445</v>
      </c>
      <c r="L40" s="16">
        <v>46058</v>
      </c>
      <c r="M40" t="s">
        <v>195</v>
      </c>
    </row>
    <row r="41" spans="1:13" ht="15" customHeight="1">
      <c r="A41" t="s">
        <v>203</v>
      </c>
      <c r="B41" t="s">
        <v>126</v>
      </c>
      <c r="C41">
        <v>2020</v>
      </c>
      <c r="D41" t="s">
        <v>200</v>
      </c>
      <c r="E41" t="s">
        <v>137</v>
      </c>
      <c r="F41">
        <v>16</v>
      </c>
      <c r="G41" t="s">
        <v>130</v>
      </c>
      <c r="H41">
        <v>512</v>
      </c>
      <c r="I41" t="s">
        <v>124</v>
      </c>
      <c r="J41" s="19">
        <v>445</v>
      </c>
      <c r="L41" s="16">
        <v>46058</v>
      </c>
      <c r="M41" t="s">
        <v>195</v>
      </c>
    </row>
    <row r="42" spans="1:13" ht="15" customHeight="1">
      <c r="A42" t="s">
        <v>203</v>
      </c>
      <c r="B42" t="s">
        <v>126</v>
      </c>
      <c r="C42">
        <v>2020</v>
      </c>
      <c r="D42" t="s">
        <v>200</v>
      </c>
      <c r="E42" t="s">
        <v>137</v>
      </c>
      <c r="F42">
        <v>16</v>
      </c>
      <c r="G42" t="s">
        <v>130</v>
      </c>
      <c r="H42">
        <v>512</v>
      </c>
      <c r="I42" t="s">
        <v>124</v>
      </c>
      <c r="J42" s="19">
        <v>445</v>
      </c>
      <c r="L42" s="16">
        <v>46058</v>
      </c>
      <c r="M42" t="s">
        <v>195</v>
      </c>
    </row>
    <row r="43" spans="1:13" ht="15" customHeight="1">
      <c r="A43" t="s">
        <v>140</v>
      </c>
      <c r="B43" t="s">
        <v>126</v>
      </c>
      <c r="C43">
        <v>2018</v>
      </c>
      <c r="D43" t="s">
        <v>204</v>
      </c>
      <c r="E43" t="s">
        <v>137</v>
      </c>
      <c r="F43">
        <v>8</v>
      </c>
      <c r="G43" t="s">
        <v>130</v>
      </c>
      <c r="H43">
        <v>256</v>
      </c>
      <c r="I43" t="s">
        <v>124</v>
      </c>
      <c r="J43" s="19">
        <v>300</v>
      </c>
      <c r="K43" s="1"/>
      <c r="L43" s="16">
        <v>46078</v>
      </c>
      <c r="M43" t="s">
        <v>205</v>
      </c>
    </row>
    <row r="44" spans="1:13" ht="15" customHeight="1">
      <c r="A44" s="4" t="s">
        <v>61</v>
      </c>
      <c r="B44" t="s">
        <v>120</v>
      </c>
      <c r="C44" s="5">
        <v>2016</v>
      </c>
      <c r="D44" t="s">
        <v>153</v>
      </c>
      <c r="E44" t="s">
        <v>122</v>
      </c>
      <c r="F44">
        <v>8</v>
      </c>
      <c r="G44" t="s">
        <v>130</v>
      </c>
      <c r="H44">
        <v>256</v>
      </c>
      <c r="I44" t="s">
        <v>124</v>
      </c>
      <c r="J44" s="19">
        <v>300</v>
      </c>
      <c r="K44" s="1"/>
      <c r="L44" s="16">
        <v>46099</v>
      </c>
      <c r="M44" t="s">
        <v>206</v>
      </c>
    </row>
    <row r="45" spans="1:13" ht="15" customHeight="1">
      <c r="L45" s="15"/>
    </row>
    <row r="46" spans="1:13" ht="15" customHeight="1">
      <c r="L46" s="15"/>
    </row>
    <row r="47" spans="1:13" ht="15" customHeight="1">
      <c r="L47" s="15"/>
    </row>
    <row r="48" spans="1:13" ht="15" customHeight="1">
      <c r="L48" s="15"/>
    </row>
    <row r="49" spans="12:12" ht="15" customHeight="1">
      <c r="L49" s="15"/>
    </row>
    <row r="50" spans="12:12" ht="15" customHeight="1">
      <c r="L50" s="15"/>
    </row>
    <row r="51" spans="12:12" ht="15" customHeight="1">
      <c r="L51" s="15"/>
    </row>
    <row r="52" spans="12:12" ht="15" customHeight="1">
      <c r="L52" s="15"/>
    </row>
    <row r="53" spans="12:12" ht="15" customHeight="1">
      <c r="L53" s="15"/>
    </row>
    <row r="54" spans="12:12" ht="15" customHeight="1">
      <c r="L54" s="15"/>
    </row>
    <row r="55" spans="12:12" ht="15" customHeight="1">
      <c r="L55" s="15"/>
    </row>
    <row r="56" spans="12:12" ht="15" customHeight="1">
      <c r="L56" s="15"/>
    </row>
    <row r="57" spans="12:12" ht="15" customHeight="1">
      <c r="L57" s="15"/>
    </row>
    <row r="58" spans="12:12" ht="15" customHeight="1">
      <c r="L58" s="15"/>
    </row>
    <row r="59" spans="12:12" ht="15" customHeight="1">
      <c r="L59" s="15"/>
    </row>
  </sheetData>
  <conditionalFormatting sqref="A44:F44 H44:K44">
    <cfRule type="expression" dxfId="10" priority="5">
      <formula>ISEVEN(ROW())</formula>
    </cfRule>
  </conditionalFormatting>
  <conditionalFormatting sqref="A44:F44 H44:L44">
    <cfRule type="expression" dxfId="9" priority="6">
      <formula>ISODD(ROW())</formula>
    </cfRule>
  </conditionalFormatting>
  <conditionalFormatting sqref="A3:M9 A10:G15 I10:M15 A16:M43 M44 A45:M59">
    <cfRule type="expression" priority="7">
      <formula>ISEVEN(ROW())</formula>
    </cfRule>
    <cfRule type="expression" dxfId="8" priority="8">
      <formula>ISODD(ROW())</formula>
    </cfRule>
  </conditionalFormatting>
  <conditionalFormatting sqref="G44">
    <cfRule type="expression" priority="3">
      <formula>ISEVEN(ROW())</formula>
    </cfRule>
    <cfRule type="expression" dxfId="7" priority="4">
      <formula>ISODD(ROW())</formula>
    </cfRule>
  </conditionalFormatting>
  <conditionalFormatting sqref="H10:H15">
    <cfRule type="expression" dxfId="6" priority="1">
      <formula>ISEVEN(ROW())</formula>
    </cfRule>
    <cfRule type="expression" dxfId="5" priority="2">
      <formula>ISODD(ROW())</formula>
    </cfRule>
  </conditionalFormatting>
  <dataValidations count="3">
    <dataValidation type="whole" allowBlank="1" showInputMessage="1" showErrorMessage="1" sqref="K32:K42" xr:uid="{9E34EFD6-6288-43CE-B05D-35BC10E05685}">
      <formula1>1</formula1>
      <formula2>2000</formula2>
    </dataValidation>
    <dataValidation allowBlank="1" showInputMessage="1" showErrorMessage="1" sqref="M1 L1:L42 L45:L1048576" xr:uid="{A9EBE1C3-8923-4578-8214-596FAC33FDB8}"/>
    <dataValidation type="list" allowBlank="1" showInputMessage="1" showErrorMessage="1" sqref="B3:B17 B19 B21:B29 B31:B42" xr:uid="{C7FD23E6-3E08-4DF7-8556-C07E455C4835}">
      <formula1>"Desktop,Laptop,Tablet,All-In-One"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6040A-3AF4-440D-9E03-57379B2EC394}">
  <dimension ref="A1:E19"/>
  <sheetViews>
    <sheetView workbookViewId="0">
      <selection activeCell="E17" sqref="E17"/>
    </sheetView>
  </sheetViews>
  <sheetFormatPr defaultRowHeight="15" customHeight="1"/>
  <cols>
    <col min="1" max="1" width="9.42578125" bestFit="1" customWidth="1"/>
    <col min="2" max="2" width="13.42578125" bestFit="1" customWidth="1"/>
    <col min="3" max="3" width="6.42578125" bestFit="1" customWidth="1"/>
    <col min="4" max="4" width="12" bestFit="1" customWidth="1"/>
    <col min="5" max="5" width="10.140625" customWidth="1"/>
  </cols>
  <sheetData>
    <row r="1" spans="1:5">
      <c r="A1" s="26" t="s">
        <v>207</v>
      </c>
      <c r="B1" s="27"/>
      <c r="C1" s="27"/>
      <c r="D1" s="27"/>
      <c r="E1" s="27"/>
    </row>
    <row r="2" spans="1:5">
      <c r="A2" t="s">
        <v>208</v>
      </c>
      <c r="B2" t="s">
        <v>209</v>
      </c>
      <c r="C2" t="s">
        <v>210</v>
      </c>
      <c r="D2" t="s">
        <v>211</v>
      </c>
      <c r="E2" s="1" t="s">
        <v>212</v>
      </c>
    </row>
    <row r="3" spans="1:5">
      <c r="A3" t="s">
        <v>213</v>
      </c>
      <c r="C3">
        <v>10</v>
      </c>
      <c r="D3" s="23" t="s">
        <v>214</v>
      </c>
      <c r="E3" s="2">
        <v>50</v>
      </c>
    </row>
    <row r="4" spans="1:5">
      <c r="A4" t="s">
        <v>215</v>
      </c>
      <c r="C4">
        <v>9</v>
      </c>
      <c r="D4" s="23" t="s">
        <v>214</v>
      </c>
      <c r="E4" s="2">
        <v>55</v>
      </c>
    </row>
    <row r="5" spans="1:5">
      <c r="A5" t="s">
        <v>216</v>
      </c>
      <c r="B5" t="s">
        <v>217</v>
      </c>
      <c r="C5">
        <v>2</v>
      </c>
      <c r="D5" s="23" t="s">
        <v>214</v>
      </c>
      <c r="E5" s="2">
        <v>5</v>
      </c>
    </row>
    <row r="6" spans="1:5">
      <c r="A6" t="s">
        <v>216</v>
      </c>
      <c r="B6" t="s">
        <v>218</v>
      </c>
      <c r="C6">
        <v>10</v>
      </c>
      <c r="D6" s="23" t="s">
        <v>214</v>
      </c>
      <c r="E6" s="2">
        <v>10</v>
      </c>
    </row>
    <row r="7" spans="1:5">
      <c r="A7" t="s">
        <v>216</v>
      </c>
      <c r="B7" t="s">
        <v>219</v>
      </c>
      <c r="C7">
        <v>2</v>
      </c>
      <c r="D7" s="23" t="s">
        <v>214</v>
      </c>
      <c r="E7" s="2">
        <v>5</v>
      </c>
    </row>
    <row r="8" spans="1:5">
      <c r="A8" t="s">
        <v>216</v>
      </c>
      <c r="B8" t="s">
        <v>220</v>
      </c>
      <c r="C8">
        <v>18</v>
      </c>
      <c r="D8" s="23" t="s">
        <v>221</v>
      </c>
      <c r="E8" s="2">
        <v>35</v>
      </c>
    </row>
    <row r="9" spans="1:5">
      <c r="A9" t="s">
        <v>216</v>
      </c>
      <c r="B9" t="s">
        <v>222</v>
      </c>
      <c r="C9">
        <v>4</v>
      </c>
      <c r="D9" s="23" t="s">
        <v>221</v>
      </c>
      <c r="E9" s="2">
        <v>20</v>
      </c>
    </row>
    <row r="10" spans="1:5">
      <c r="A10" t="s">
        <v>216</v>
      </c>
      <c r="B10" t="s">
        <v>223</v>
      </c>
      <c r="C10">
        <v>3</v>
      </c>
      <c r="D10" s="23" t="s">
        <v>214</v>
      </c>
      <c r="E10" s="2">
        <v>20</v>
      </c>
    </row>
    <row r="11" spans="1:5">
      <c r="A11" t="s">
        <v>216</v>
      </c>
      <c r="B11" t="s">
        <v>224</v>
      </c>
      <c r="C11">
        <v>16</v>
      </c>
      <c r="D11" s="23" t="s">
        <v>214</v>
      </c>
      <c r="E11" s="2">
        <v>15</v>
      </c>
    </row>
    <row r="12" spans="1:5">
      <c r="A12" t="s">
        <v>225</v>
      </c>
      <c r="B12" t="s">
        <v>220</v>
      </c>
      <c r="C12">
        <v>6</v>
      </c>
      <c r="D12" s="23" t="s">
        <v>214</v>
      </c>
      <c r="E12" s="2">
        <v>30</v>
      </c>
    </row>
    <row r="13" spans="1:5">
      <c r="A13" t="s">
        <v>225</v>
      </c>
      <c r="B13" t="s">
        <v>222</v>
      </c>
      <c r="C13">
        <v>3</v>
      </c>
      <c r="D13" s="23" t="s">
        <v>214</v>
      </c>
      <c r="E13" s="2">
        <v>25</v>
      </c>
    </row>
    <row r="14" spans="1:5">
      <c r="A14" t="s">
        <v>225</v>
      </c>
      <c r="B14" t="s">
        <v>226</v>
      </c>
      <c r="C14">
        <v>0</v>
      </c>
      <c r="D14" s="23" t="s">
        <v>214</v>
      </c>
      <c r="E14" s="2">
        <v>50</v>
      </c>
    </row>
    <row r="15" spans="1:5">
      <c r="A15" t="s">
        <v>225</v>
      </c>
      <c r="B15" t="s">
        <v>224</v>
      </c>
      <c r="C15">
        <v>11</v>
      </c>
      <c r="D15" s="23" t="s">
        <v>214</v>
      </c>
      <c r="E15" s="2">
        <v>10</v>
      </c>
    </row>
    <row r="16" spans="1:5" ht="15" customHeight="1">
      <c r="A16" t="s">
        <v>227</v>
      </c>
      <c r="B16" t="s">
        <v>228</v>
      </c>
      <c r="C16">
        <v>4</v>
      </c>
      <c r="D16" s="23" t="s">
        <v>214</v>
      </c>
      <c r="E16" s="2">
        <v>60</v>
      </c>
    </row>
    <row r="17" spans="4:4" ht="15" customHeight="1">
      <c r="D17" s="23"/>
    </row>
    <row r="18" spans="4:4" ht="15" customHeight="1">
      <c r="D18" s="23"/>
    </row>
    <row r="19" spans="4:4" ht="15" customHeight="1">
      <c r="D19" s="23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77F78-0898-4060-A2C7-C1A84336B28A}">
  <dimension ref="A1:D34"/>
  <sheetViews>
    <sheetView tabSelected="1" workbookViewId="0">
      <selection activeCell="E1" sqref="E1:E1048576"/>
    </sheetView>
  </sheetViews>
  <sheetFormatPr defaultRowHeight="15" customHeight="1"/>
  <cols>
    <col min="1" max="1" width="33.140625" customWidth="1"/>
    <col min="2" max="2" width="15.28515625" customWidth="1"/>
    <col min="3" max="3" width="10.140625" customWidth="1"/>
    <col min="4" max="4" width="10.140625" style="19" customWidth="1"/>
  </cols>
  <sheetData>
    <row r="1" spans="1:4">
      <c r="A1" s="26" t="s">
        <v>229</v>
      </c>
      <c r="B1" s="27"/>
      <c r="C1" s="27"/>
      <c r="D1" s="28"/>
    </row>
    <row r="2" spans="1:4">
      <c r="A2" t="s">
        <v>230</v>
      </c>
      <c r="B2" t="s">
        <v>208</v>
      </c>
      <c r="C2" s="1" t="s">
        <v>210</v>
      </c>
      <c r="D2" s="21" t="s">
        <v>212</v>
      </c>
    </row>
    <row r="3" spans="1:4">
      <c r="A3" t="s">
        <v>231</v>
      </c>
      <c r="B3" t="s">
        <v>232</v>
      </c>
      <c r="C3">
        <v>4</v>
      </c>
      <c r="D3" s="19">
        <v>20</v>
      </c>
    </row>
    <row r="4" spans="1:4">
      <c r="A4" t="s">
        <v>233</v>
      </c>
      <c r="B4" t="s">
        <v>232</v>
      </c>
      <c r="C4">
        <v>1</v>
      </c>
      <c r="D4" s="19">
        <v>80</v>
      </c>
    </row>
    <row r="5" spans="1:4">
      <c r="A5" t="s">
        <v>234</v>
      </c>
      <c r="B5" t="s">
        <v>235</v>
      </c>
      <c r="C5">
        <v>2</v>
      </c>
      <c r="D5" s="19">
        <v>37</v>
      </c>
    </row>
    <row r="6" spans="1:4">
      <c r="A6" t="s">
        <v>236</v>
      </c>
      <c r="B6" t="s">
        <v>235</v>
      </c>
      <c r="C6">
        <v>2</v>
      </c>
      <c r="D6" s="19">
        <v>5</v>
      </c>
    </row>
    <row r="7" spans="1:4">
      <c r="A7" t="s">
        <v>237</v>
      </c>
      <c r="B7" t="s">
        <v>238</v>
      </c>
      <c r="C7">
        <v>2</v>
      </c>
      <c r="D7" s="19">
        <v>10</v>
      </c>
    </row>
    <row r="8" spans="1:4">
      <c r="A8" t="s">
        <v>239</v>
      </c>
      <c r="B8" t="s">
        <v>238</v>
      </c>
      <c r="C8">
        <v>1</v>
      </c>
      <c r="D8" s="19">
        <v>5</v>
      </c>
    </row>
    <row r="9" spans="1:4">
      <c r="A9" t="s">
        <v>240</v>
      </c>
      <c r="B9" t="s">
        <v>241</v>
      </c>
      <c r="C9">
        <v>5</v>
      </c>
      <c r="D9" s="19">
        <v>15</v>
      </c>
    </row>
    <row r="10" spans="1:4">
      <c r="A10" t="s">
        <v>242</v>
      </c>
      <c r="B10" t="s">
        <v>243</v>
      </c>
      <c r="C10">
        <v>1</v>
      </c>
      <c r="D10" s="19">
        <v>20</v>
      </c>
    </row>
    <row r="11" spans="1:4">
      <c r="A11" t="s">
        <v>244</v>
      </c>
      <c r="B11" t="s">
        <v>243</v>
      </c>
      <c r="C11">
        <v>14</v>
      </c>
      <c r="D11" s="19">
        <v>2</v>
      </c>
    </row>
    <row r="12" spans="1:4">
      <c r="A12" t="s">
        <v>245</v>
      </c>
      <c r="B12" t="s">
        <v>246</v>
      </c>
      <c r="C12">
        <v>1</v>
      </c>
      <c r="D12" s="19">
        <v>3</v>
      </c>
    </row>
    <row r="13" spans="1:4">
      <c r="A13" t="s">
        <v>247</v>
      </c>
      <c r="B13" t="s">
        <v>246</v>
      </c>
      <c r="C13">
        <v>1</v>
      </c>
      <c r="D13" s="19">
        <v>5</v>
      </c>
    </row>
    <row r="14" spans="1:4">
      <c r="A14" t="s">
        <v>248</v>
      </c>
      <c r="B14" t="s">
        <v>241</v>
      </c>
      <c r="C14">
        <v>6</v>
      </c>
      <c r="D14" s="19">
        <v>15</v>
      </c>
    </row>
    <row r="15" spans="1:4"/>
    <row r="16" spans="1:4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Lucas, Jack</dc:creator>
  <cp:keywords/>
  <dc:description/>
  <cp:lastModifiedBy/>
  <cp:revision/>
  <dcterms:created xsi:type="dcterms:W3CDTF">2025-11-03T20:20:26Z</dcterms:created>
  <dcterms:modified xsi:type="dcterms:W3CDTF">2026-04-23T18:52:42Z</dcterms:modified>
  <cp:category/>
  <cp:contentStatus/>
</cp:coreProperties>
</file>