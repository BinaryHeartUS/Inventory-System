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rosehulman-my.sharepoint.com/personal/lucasja_rose-hulman_edu/Documents/Documents/"/>
    </mc:Choice>
  </mc:AlternateContent>
  <xr:revisionPtr revIDLastSave="0" documentId="8_{2D9739BD-6947-495D-A632-4B17D9A929FF}" xr6:coauthVersionLast="47" xr6:coauthVersionMax="47" xr10:uidLastSave="{00000000-0000-0000-0000-000000000000}"/>
  <bookViews>
    <workbookView xWindow="-120" yWindow="-120" windowWidth="29040" windowHeight="17520" firstSheet="1" activeTab="1" xr2:uid="{5168A3A3-41E7-40C2-87C5-8FD5FAD669C3}"/>
  </bookViews>
  <sheets>
    <sheet name="Laptops" sheetId="1" r:id="rId1"/>
    <sheet name="Desktops" sheetId="7" r:id="rId2"/>
    <sheet name="Tablets" sheetId="10" r:id="rId3"/>
    <sheet name="Ready To Donate" sheetId="2" r:id="rId4"/>
    <sheet name="Donated" sheetId="11" r:id="rId5"/>
    <sheet name="Parts" sheetId="12" r:id="rId6"/>
    <sheet name="Tools" sheetId="13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9" i="11" l="1"/>
  <c r="Q2" i="11"/>
  <c r="P2" i="11"/>
</calcChain>
</file>

<file path=xl/sharedStrings.xml><?xml version="1.0" encoding="utf-8"?>
<sst xmlns="http://schemas.openxmlformats.org/spreadsheetml/2006/main" count="1393" uniqueCount="283">
  <si>
    <t>LAPTOPS</t>
  </si>
  <si>
    <t>Item Name</t>
  </si>
  <si>
    <t>ID</t>
  </si>
  <si>
    <t>Manufacturer</t>
  </si>
  <si>
    <t>Year released</t>
  </si>
  <si>
    <t>Special Reqs/Notes</t>
  </si>
  <si>
    <t>Charger</t>
  </si>
  <si>
    <t>Working Battery</t>
  </si>
  <si>
    <t>Current Status</t>
  </si>
  <si>
    <t>Date Updated</t>
  </si>
  <si>
    <t>Column1</t>
  </si>
  <si>
    <t>Column2</t>
  </si>
  <si>
    <t>Column3</t>
  </si>
  <si>
    <t>Column4</t>
  </si>
  <si>
    <t>100e Chromebook 2nd Gen</t>
  </si>
  <si>
    <t>Lenovo</t>
  </si>
  <si>
    <t>ARM, ARM bad, has charger</t>
  </si>
  <si>
    <t>Included</t>
  </si>
  <si>
    <t>In Progress</t>
  </si>
  <si>
    <t>Satellite C655-S5547</t>
  </si>
  <si>
    <t>Toshiba</t>
  </si>
  <si>
    <t>Won't turn on, has missing SSD</t>
  </si>
  <si>
    <t>MacBook Air A1369</t>
  </si>
  <si>
    <t>Apple</t>
  </si>
  <si>
    <t>Reconnect and potentially replace battrey, completely unresponsive</t>
  </si>
  <si>
    <t>MacBook Air A2179</t>
  </si>
  <si>
    <t>Not Started</t>
  </si>
  <si>
    <t>Satellite Click W35Dt-A3300</t>
  </si>
  <si>
    <t>Not Included</t>
  </si>
  <si>
    <t>Precision M6700</t>
  </si>
  <si>
    <t>Dell</t>
  </si>
  <si>
    <t>500C Chromebook</t>
  </si>
  <si>
    <t>Samsung</t>
  </si>
  <si>
    <t>Inspiron N7110</t>
  </si>
  <si>
    <t>Needs OS installed, need to change to UEFI (if possible)</t>
  </si>
  <si>
    <t>Ideapad 3 Chromebook 11AST5</t>
  </si>
  <si>
    <t>Battery issue</t>
  </si>
  <si>
    <t>No</t>
  </si>
  <si>
    <t>Elitebook 8560p</t>
  </si>
  <si>
    <t>HP</t>
  </si>
  <si>
    <t>Needs Vanilla but isn't installing easily (Claims to be in legacy mode even after factory reset)</t>
  </si>
  <si>
    <t>15-db0004dx</t>
  </si>
  <si>
    <t>ProBook 450 G7</t>
  </si>
  <si>
    <t>Screen does not turn on but power light does, SSD installed</t>
  </si>
  <si>
    <t>Thinkpad S230u</t>
  </si>
  <si>
    <t>Might need to scrap 4gb of ram soldered</t>
  </si>
  <si>
    <t>Macbook Pro A1708</t>
  </si>
  <si>
    <t>Surface Pro 1796</t>
  </si>
  <si>
    <t>Microsoft</t>
  </si>
  <si>
    <t>Windows 11 w/ all updates, battery no work :(</t>
  </si>
  <si>
    <t>Precision 5540</t>
  </si>
  <si>
    <t>Broken hinges; attempted to be superglued</t>
  </si>
  <si>
    <t>C731 Series</t>
  </si>
  <si>
    <t>Acer</t>
  </si>
  <si>
    <t>Arc Linux Minecraft Installed</t>
  </si>
  <si>
    <t>ProBook 450 G6</t>
  </si>
  <si>
    <t>Intel Core i5-8265U; currently has vanilla os, should have windows 11</t>
  </si>
  <si>
    <t>Yes</t>
  </si>
  <si>
    <t>DESKTOPS</t>
  </si>
  <si>
    <t>Optiplex 7040</t>
  </si>
  <si>
    <t>Vanilla OS installs but can't boot to it - has SSD</t>
  </si>
  <si>
    <t>Windows 11 installed (somehow, it shouldn't work bc tpm 1.2) should be fully working but needs to be tested</t>
  </si>
  <si>
    <t>Boot issues (no boot device found after installation)</t>
  </si>
  <si>
    <t>Precision Tower 3420</t>
  </si>
  <si>
    <t>Has SSD, no bootable device found</t>
  </si>
  <si>
    <t>Optiplex 9020</t>
  </si>
  <si>
    <t>Optiplex 7050</t>
  </si>
  <si>
    <t>Done???</t>
  </si>
  <si>
    <t>Needs SSD and OS install</t>
  </si>
  <si>
    <t>Optiplex 960</t>
  </si>
  <si>
    <t>Precision 7920</t>
  </si>
  <si>
    <t>Precision 5810</t>
  </si>
  <si>
    <t>Precision 5820</t>
  </si>
  <si>
    <t>Ryzen 4000 Desktop</t>
  </si>
  <si>
    <r>
      <t xml:space="preserve">Vanilla OS installed + DONE,  </t>
    </r>
    <r>
      <rPr>
        <sz val="11"/>
        <color rgb="FFFF0000"/>
        <rFont val="Aptos Narrow"/>
        <family val="2"/>
        <scheme val="minor"/>
      </rPr>
      <t>CD Cover</t>
    </r>
  </si>
  <si>
    <t>Inspiron D16M001</t>
  </si>
  <si>
    <t>Chromebox CN60</t>
  </si>
  <si>
    <t>Asus</t>
  </si>
  <si>
    <t>has like 4 Vanilla installations</t>
  </si>
  <si>
    <t>Chromebox Thin Client 3</t>
  </si>
  <si>
    <t>Doesnt display video</t>
  </si>
  <si>
    <t>Custom Build</t>
  </si>
  <si>
    <t>CoolerMaster</t>
  </si>
  <si>
    <t>ProDesk 400 G5 Desktop Mini</t>
  </si>
  <si>
    <t>Needs Windows updates</t>
  </si>
  <si>
    <t>Mini PC ZBox-CI323NANO</t>
  </si>
  <si>
    <t>Has Vanilla OS, can discover eduroam but not rhit open, ethernet works</t>
  </si>
  <si>
    <t>Z2 Mini G5 Workstation</t>
  </si>
  <si>
    <t>Needs power supply; expensive!!!! MXM P620</t>
  </si>
  <si>
    <t>ThinkCentre M700</t>
  </si>
  <si>
    <t>Needs to play dugdug video, make clinky when moved</t>
  </si>
  <si>
    <t>Optiplex 3070</t>
  </si>
  <si>
    <t>Need Windows NEED better Charger</t>
  </si>
  <si>
    <t>TABLETS</t>
  </si>
  <si>
    <t>iPad A1397</t>
  </si>
  <si>
    <t>Wifi + Cellular, Cracked screen</t>
  </si>
  <si>
    <t>Wifi + Cellular</t>
  </si>
  <si>
    <t>READY TO DONATE</t>
  </si>
  <si>
    <t>Item</t>
  </si>
  <si>
    <t>Type of Device</t>
  </si>
  <si>
    <t>Est. Year</t>
  </si>
  <si>
    <t>CPU</t>
  </si>
  <si>
    <t>OS</t>
  </si>
  <si>
    <t>RAM Amount</t>
  </si>
  <si>
    <t>RAM Generation</t>
  </si>
  <si>
    <t>Storage</t>
  </si>
  <si>
    <t>SSD/HDD</t>
  </si>
  <si>
    <t>Est. Value</t>
  </si>
  <si>
    <t>Notes</t>
  </si>
  <si>
    <t>Thinkcenter E73</t>
  </si>
  <si>
    <t>Desktop</t>
  </si>
  <si>
    <t>Intel i3-4130</t>
  </si>
  <si>
    <t>Vanilla OS</t>
  </si>
  <si>
    <t>DDR3</t>
  </si>
  <si>
    <t>SSD</t>
  </si>
  <si>
    <t>Inspiron 15 3552</t>
  </si>
  <si>
    <t>Laptop</t>
  </si>
  <si>
    <t>Inspiron 15-3552</t>
  </si>
  <si>
    <t>Chromebox Thin Cilent 3</t>
  </si>
  <si>
    <t>Intel Celeron 3865U</t>
  </si>
  <si>
    <t>DDR4</t>
  </si>
  <si>
    <t>intel core i3-7100</t>
  </si>
  <si>
    <t>Intel core i3-7100</t>
  </si>
  <si>
    <t>ThinkCentre M625q</t>
  </si>
  <si>
    <t>AMD A9-9420e</t>
  </si>
  <si>
    <t>Latitude 5510</t>
  </si>
  <si>
    <t>Intel Core i7-10610U</t>
  </si>
  <si>
    <t>Windows 11</t>
  </si>
  <si>
    <t>Inspiron 3847</t>
  </si>
  <si>
    <t>Intel Core i3-4170</t>
  </si>
  <si>
    <t>Inspiron 15 3537</t>
  </si>
  <si>
    <t>Intel Core i3 ULV</t>
  </si>
  <si>
    <t>MacBook Pro A1502</t>
  </si>
  <si>
    <t>2.6 GHz Dual-Core Intel Core i5</t>
  </si>
  <si>
    <t>macOS</t>
  </si>
  <si>
    <t>ProBook 450 G8</t>
  </si>
  <si>
    <t>Intel Core i5-1135G7</t>
  </si>
  <si>
    <t>Intel Core i7-6700</t>
  </si>
  <si>
    <t>ProBook 650 G3</t>
  </si>
  <si>
    <t>Intel Core i5-7300u</t>
  </si>
  <si>
    <t>Intel Core i7-4770</t>
  </si>
  <si>
    <t>Latitude 5580</t>
  </si>
  <si>
    <t>Intel Core i7-7820</t>
  </si>
  <si>
    <t>Intel Core i5-6400t</t>
  </si>
  <si>
    <t>Needs charger</t>
  </si>
  <si>
    <t>Edge 15</t>
  </si>
  <si>
    <t>Intel Core i3-5020U</t>
  </si>
  <si>
    <t>DRR3</t>
  </si>
  <si>
    <t>Optiplex 5050 Micro</t>
  </si>
  <si>
    <t>Intel Core i5-7600</t>
  </si>
  <si>
    <t>ProDesk 600 G5 Desktop Mini</t>
  </si>
  <si>
    <t>Intel core i5-9500</t>
  </si>
  <si>
    <t>ProDesk 600 G3 Desktop Mini</t>
  </si>
  <si>
    <t>Intel core i5-7500t</t>
  </si>
  <si>
    <t>EliteDesk 800 G4 TWR</t>
  </si>
  <si>
    <t>Intel i5-8500</t>
  </si>
  <si>
    <t>Optiplex 7070 micro</t>
  </si>
  <si>
    <t>ProBook 640 GB</t>
  </si>
  <si>
    <t>Intel i5-1135G7</t>
  </si>
  <si>
    <t>Google Pixel 7 Phone</t>
  </si>
  <si>
    <t xml:space="preserve">Google </t>
  </si>
  <si>
    <t>Tablet</t>
  </si>
  <si>
    <t xml:space="preserve">Tensor G2 </t>
  </si>
  <si>
    <t>Android</t>
  </si>
  <si>
    <t>LPDDR5</t>
  </si>
  <si>
    <t>USF</t>
  </si>
  <si>
    <t>Precision T3600</t>
  </si>
  <si>
    <t>Intel Xeon E5-1650</t>
  </si>
  <si>
    <t>Satellite C55t-C5300</t>
  </si>
  <si>
    <t>Intel i3-5020u</t>
  </si>
  <si>
    <t>Donated Devices</t>
  </si>
  <si>
    <t>Total Estimated Value</t>
  </si>
  <si>
    <t>International donations:</t>
  </si>
  <si>
    <t>Date Donated</t>
  </si>
  <si>
    <t>Recipient</t>
  </si>
  <si>
    <t>Org?</t>
  </si>
  <si>
    <t>Laptop given to Tarrant</t>
  </si>
  <si>
    <t>Unknown</t>
  </si>
  <si>
    <t>International, via Wayne Tarrant</t>
  </si>
  <si>
    <t>N</t>
  </si>
  <si>
    <t>Latitude 5500</t>
  </si>
  <si>
    <t>Intel core i7-8665U</t>
  </si>
  <si>
    <t>15-AC113CL</t>
  </si>
  <si>
    <t>Intel core i3-5005U</t>
  </si>
  <si>
    <t>Satellite C55-B5296</t>
  </si>
  <si>
    <t>Intel Celeron N2830</t>
  </si>
  <si>
    <t>Low battery health</t>
  </si>
  <si>
    <t>EliteBook 850 G6</t>
  </si>
  <si>
    <t>Intel core i7-8565U</t>
  </si>
  <si>
    <t>Latitude 5420</t>
  </si>
  <si>
    <t>Intel core i5-1145G7</t>
  </si>
  <si>
    <t>iPad Mini A1455</t>
  </si>
  <si>
    <t>N/A</t>
  </si>
  <si>
    <t>iOS</t>
  </si>
  <si>
    <t>DDR2</t>
  </si>
  <si>
    <t>eMMC</t>
  </si>
  <si>
    <t>WiFi + Cellular</t>
  </si>
  <si>
    <t>iPad Air 2 A1566</t>
  </si>
  <si>
    <t>Optiplex 5060</t>
  </si>
  <si>
    <t>Intel core i5-8500</t>
  </si>
  <si>
    <t>No wifi, Ethernet only</t>
  </si>
  <si>
    <t>The Learning Center, Terre Haute</t>
  </si>
  <si>
    <t>Y</t>
  </si>
  <si>
    <t>Intel core i7-4770</t>
  </si>
  <si>
    <t>Wifi included</t>
  </si>
  <si>
    <t>Intel i7-6700</t>
  </si>
  <si>
    <t>built in ethernet doesn't work. Donate with usb-wifi adapter</t>
  </si>
  <si>
    <t>International, via Dr. Onyancha</t>
  </si>
  <si>
    <t>Optiplex 9010</t>
  </si>
  <si>
    <t>Intel i7-3770</t>
  </si>
  <si>
    <t>Intel i7-4770</t>
  </si>
  <si>
    <t>ThinkPad P1 Gen 1</t>
  </si>
  <si>
    <t>Intel i7 10750H</t>
  </si>
  <si>
    <t>Intel i3-7100</t>
  </si>
  <si>
    <t>HDD</t>
  </si>
  <si>
    <t>ThinkPad P1 Gen 3</t>
  </si>
  <si>
    <t>Latitude 5490</t>
  </si>
  <si>
    <t>Intel  i7-865OU</t>
  </si>
  <si>
    <t>Given to Enzo at NU, for Deborah's Place</t>
  </si>
  <si>
    <t>Wabash Activity Center</t>
  </si>
  <si>
    <t>ASUS</t>
  </si>
  <si>
    <t>Intel Core i3-4010U</t>
  </si>
  <si>
    <t>Archlinux</t>
  </si>
  <si>
    <t>Linux User Group</t>
  </si>
  <si>
    <t>Chromebook 11 N7 C731</t>
  </si>
  <si>
    <t>Intel Celeron N3060</t>
  </si>
  <si>
    <t>Chrome OS</t>
  </si>
  <si>
    <t>The Excel Center of Terre Haute</t>
  </si>
  <si>
    <t>Intel Core i5-8400</t>
  </si>
  <si>
    <t>Elitebook 850 G6</t>
  </si>
  <si>
    <t>Intel Core i7-8565U</t>
  </si>
  <si>
    <t>Jessalynn Boone</t>
  </si>
  <si>
    <t>boonebee22@gmail.com</t>
  </si>
  <si>
    <t>Intel Core i5-8265U</t>
  </si>
  <si>
    <t>Brayden Smith</t>
  </si>
  <si>
    <t>smittyjr629@gmail.com</t>
  </si>
  <si>
    <t>Intel Core i7-8650U</t>
  </si>
  <si>
    <t>Latitude 5410</t>
  </si>
  <si>
    <t>Intel Core i5-10210U</t>
  </si>
  <si>
    <t>ThinkPad P15s Gen 1</t>
  </si>
  <si>
    <t>Intel core i5-10210u</t>
  </si>
  <si>
    <t>Chromebook 13 CB5-311 series</t>
  </si>
  <si>
    <t>Nvidia Tegra K1</t>
  </si>
  <si>
    <t>Chromebook 13 C810 series</t>
  </si>
  <si>
    <t>Nvidia Tegra K2</t>
  </si>
  <si>
    <t>Nvidia Tegra K3</t>
  </si>
  <si>
    <t>Nvidia Tegra K4</t>
  </si>
  <si>
    <t>DDR5</t>
  </si>
  <si>
    <t>Nvidia Tegra K5</t>
  </si>
  <si>
    <t>DDR6</t>
  </si>
  <si>
    <t>Nvidia Tegra K6</t>
  </si>
  <si>
    <t>DDR7</t>
  </si>
  <si>
    <t>PARTS</t>
  </si>
  <si>
    <t>Type</t>
  </si>
  <si>
    <t>Description</t>
  </si>
  <si>
    <t>Qty</t>
  </si>
  <si>
    <t>Donated?</t>
  </si>
  <si>
    <t>Value</t>
  </si>
  <si>
    <t>SATA SSD</t>
  </si>
  <si>
    <t>256GB</t>
  </si>
  <si>
    <t>M2 SSD</t>
  </si>
  <si>
    <t>SODIMM</t>
  </si>
  <si>
    <t>1GB DDR3</t>
  </si>
  <si>
    <t>2GB DDR4</t>
  </si>
  <si>
    <t>2GB DDR3</t>
  </si>
  <si>
    <t>8GB DDR4</t>
  </si>
  <si>
    <t>8GB DDR3</t>
  </si>
  <si>
    <t>4GB DDR4</t>
  </si>
  <si>
    <t>4GB DDR3</t>
  </si>
  <si>
    <t>16GB DDR4</t>
  </si>
  <si>
    <t>DIMM</t>
  </si>
  <si>
    <t>GPU</t>
  </si>
  <si>
    <t>Nvidia P1000</t>
  </si>
  <si>
    <t>TOOLS</t>
  </si>
  <si>
    <t>Name</t>
  </si>
  <si>
    <t>iFixit Moray Kit (complete)</t>
  </si>
  <si>
    <t>iFixit Pro Tech Toolkit (complete)</t>
  </si>
  <si>
    <t>iFixit Magnetic Screw Organizer</t>
  </si>
  <si>
    <t>Magnetic Parts Tray</t>
  </si>
  <si>
    <t>Anker Power Strip</t>
  </si>
  <si>
    <t>USB A to Ethernet</t>
  </si>
  <si>
    <t>Duster</t>
  </si>
  <si>
    <t>USB Wifi Adapter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</si>
</sst>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00000"/>
    <numFmt numFmtId="165" formatCode="&quot;$&quot;#,##0.00"/>
  </numFmts>
  <fonts count="7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C0E6F5"/>
        <bgColor rgb="FFC0E6F5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wrapText="1"/>
    </xf>
    <xf numFmtId="6" fontId="0" fillId="0" borderId="0" xfId="0" applyNumberFormat="1"/>
    <xf numFmtId="6" fontId="0" fillId="0" borderId="0" xfId="0" applyNumberFormat="1" applyAlignment="1">
      <alignment wrapText="1"/>
    </xf>
    <xf numFmtId="0" fontId="3" fillId="3" borderId="4" xfId="0" applyFont="1" applyFill="1" applyBorder="1"/>
    <xf numFmtId="0" fontId="3" fillId="3" borderId="5" xfId="0" applyFont="1" applyFill="1" applyBorder="1"/>
    <xf numFmtId="0" fontId="3" fillId="3" borderId="5" xfId="0" applyFont="1" applyFill="1" applyBorder="1" applyAlignment="1">
      <alignment wrapText="1"/>
    </xf>
    <xf numFmtId="14" fontId="3" fillId="3" borderId="6" xfId="0" applyNumberFormat="1" applyFont="1" applyFill="1" applyBorder="1"/>
    <xf numFmtId="0" fontId="3" fillId="0" borderId="4" xfId="0" applyFont="1" applyBorder="1"/>
    <xf numFmtId="0" fontId="3" fillId="0" borderId="5" xfId="0" applyFont="1" applyBorder="1"/>
    <xf numFmtId="0" fontId="3" fillId="0" borderId="5" xfId="0" applyFont="1" applyBorder="1" applyAlignment="1">
      <alignment wrapText="1"/>
    </xf>
    <xf numFmtId="14" fontId="3" fillId="0" borderId="6" xfId="0" applyNumberFormat="1" applyFont="1" applyBorder="1"/>
    <xf numFmtId="164" fontId="0" fillId="0" borderId="0" xfId="0" applyNumberFormat="1"/>
    <xf numFmtId="164" fontId="3" fillId="3" borderId="5" xfId="0" applyNumberFormat="1" applyFont="1" applyFill="1" applyBorder="1"/>
    <xf numFmtId="164" fontId="3" fillId="0" borderId="5" xfId="0" applyNumberFormat="1" applyFont="1" applyBorder="1"/>
    <xf numFmtId="14" fontId="0" fillId="0" borderId="0" xfId="0" applyNumberFormat="1" applyAlignment="1">
      <alignment wrapText="1"/>
    </xf>
    <xf numFmtId="14" fontId="0" fillId="0" borderId="0" xfId="0" applyNumberFormat="1"/>
    <xf numFmtId="0" fontId="1" fillId="2" borderId="3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165" fontId="0" fillId="0" borderId="0" xfId="0" applyNumberFormat="1"/>
    <xf numFmtId="165" fontId="1" fillId="2" borderId="0" xfId="0" applyNumberFormat="1" applyFont="1" applyFill="1" applyAlignment="1">
      <alignment horizontal="center" wrapText="1"/>
    </xf>
    <xf numFmtId="165" fontId="0" fillId="0" borderId="0" xfId="0" applyNumberFormat="1" applyAlignment="1">
      <alignment wrapText="1"/>
    </xf>
    <xf numFmtId="14" fontId="1" fillId="2" borderId="0" xfId="0" applyNumberFormat="1" applyFont="1" applyFill="1" applyAlignment="1">
      <alignment horizontal="center" wrapText="1"/>
    </xf>
    <xf numFmtId="0" fontId="0" fillId="0" borderId="0" xfId="0" applyAlignment="1">
      <alignment horizontal="right"/>
    </xf>
    <xf numFmtId="165" fontId="1" fillId="2" borderId="0" xfId="0" applyNumberFormat="1" applyFont="1" applyFill="1" applyAlignment="1">
      <alignment horizontal="center"/>
    </xf>
    <xf numFmtId="0" fontId="0" fillId="0" borderId="1" xfId="0" applyBorder="1"/>
    <xf numFmtId="0" fontId="3" fillId="3" borderId="0" xfId="0" applyFont="1" applyFill="1"/>
    <xf numFmtId="0" fontId="3" fillId="0" borderId="0" xfId="0" applyFont="1"/>
    <xf numFmtId="0" fontId="3" fillId="4" borderId="0" xfId="0" applyFont="1" applyFill="1"/>
    <xf numFmtId="0" fontId="3" fillId="4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6" fillId="0" borderId="0" xfId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44">
    <dxf>
      <numFmt numFmtId="165" formatCode="&quot;$&quot;#,##0.00"/>
    </dxf>
    <dxf>
      <alignment horizontal="right" vertical="bottom" textRotation="0" wrapText="0" indent="0" justifyLastLine="0" shrinkToFit="0" readingOrder="0"/>
    </dxf>
    <dxf>
      <numFmt numFmtId="19" formatCode="m/d/yyyy"/>
      <alignment horizontal="general" vertical="bottom" textRotation="0" wrapText="1" indent="0" justifyLastLine="0" shrinkToFit="0" readingOrder="0"/>
    </dxf>
    <dxf>
      <numFmt numFmtId="19" formatCode="m/d/yyyy"/>
      <alignment horizontal="general" vertical="bottom" textRotation="0" wrapText="1" indent="0" justifyLastLine="0" shrinkToFit="0" readingOrder="0"/>
    </dxf>
    <dxf>
      <numFmt numFmtId="165" formatCode="&quot;$&quot;#,##0.00"/>
    </dxf>
    <dxf>
      <border outline="0">
        <top style="thin">
          <color theme="4" tint="0.39997558519241921"/>
        </top>
      </border>
    </dxf>
    <dxf>
      <font>
        <color theme="1"/>
      </font>
      <fill>
        <patternFill patternType="solid">
          <bgColor theme="7" tint="0.79998168889431442"/>
        </patternFill>
      </fill>
    </dxf>
    <dxf>
      <font>
        <color theme="1"/>
      </font>
      <fill>
        <patternFill patternType="solid">
          <bgColor theme="7" tint="0.79998168889431442"/>
        </patternFill>
      </fill>
    </dxf>
    <dxf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7" tint="0.79998168889431442"/>
        </patternFill>
      </fill>
    </dxf>
    <dxf>
      <font>
        <color theme="1"/>
      </font>
      <fill>
        <patternFill patternType="solid">
          <bgColor theme="7" tint="0.79998168889431442"/>
        </patternFill>
      </fill>
    </dxf>
    <dxf>
      <font>
        <color theme="1"/>
      </font>
      <fill>
        <patternFill patternType="solid">
          <bgColor theme="0"/>
        </patternFill>
      </fill>
      <border>
        <bottom style="thin">
          <color rgb="FF000000"/>
        </bottom>
      </border>
    </dxf>
    <dxf>
      <font>
        <color theme="1"/>
      </font>
      <fill>
        <patternFill patternType="solid">
          <bgColor theme="7" tint="0.79998168889431442"/>
        </patternFill>
      </fill>
    </dxf>
    <dxf>
      <font>
        <color theme="1"/>
      </font>
      <fill>
        <patternFill patternType="solid">
          <bgColor theme="7" tint="0.79998168889431442"/>
        </patternFill>
      </fill>
    </dxf>
    <dxf>
      <font>
        <color theme="1"/>
      </font>
      <fill>
        <patternFill patternType="solid">
          <bgColor theme="7" tint="0.79998168889431442"/>
        </patternFill>
      </fill>
    </dxf>
    <dxf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0"/>
        </patternFill>
      </fill>
    </dxf>
    <dxf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0"/>
        </patternFill>
      </fill>
    </dxf>
    <dxf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0"/>
        </patternFill>
      </fill>
    </dxf>
    <dxf>
      <alignment horizontal="general" vertical="bottom" textRotation="0" wrapText="1" indent="0" justifyLastLine="0" shrinkToFit="0" readingOrder="0"/>
    </dxf>
    <dxf>
      <numFmt numFmtId="165" formatCode="&quot;$&quot;#,##0.00"/>
    </dxf>
    <dxf>
      <border outline="0">
        <top style="thin">
          <color theme="4" tint="0.39997558519241921"/>
        </top>
      </border>
    </dxf>
    <dxf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0"/>
        </patternFill>
      </fill>
    </dxf>
    <dxf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7" tint="0.79998168889431442"/>
        </patternFill>
      </fill>
    </dxf>
    <dxf>
      <font>
        <color theme="1"/>
      </font>
      <fill>
        <patternFill patternType="solid">
          <bgColor theme="0"/>
        </patternFill>
      </fill>
      <border>
        <bottom style="thin">
          <color rgb="FF000000"/>
        </bottom>
      </border>
    </dxf>
    <dxf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7" tint="0.79998168889431442"/>
        </patternFill>
      </fill>
    </dxf>
    <dxf>
      <font>
        <color theme="1"/>
      </font>
      <fill>
        <patternFill patternType="solid">
          <bgColor theme="0"/>
        </patternFill>
      </fill>
      <border>
        <bottom style="thin">
          <color rgb="FF000000"/>
        </bottom>
      </border>
    </dxf>
    <dxf>
      <font>
        <color theme="1"/>
      </font>
      <fill>
        <patternFill patternType="solid">
          <bgColor theme="7" tint="0.79998168889431442"/>
        </patternFill>
      </fill>
    </dxf>
    <dxf>
      <font>
        <color theme="1"/>
      </font>
      <fill>
        <patternFill patternType="solid">
          <bgColor theme="0"/>
        </patternFill>
      </fill>
      <border>
        <bottom style="thin">
          <color rgb="FF000000"/>
        </bottom>
      </border>
    </dxf>
    <dxf>
      <alignment horizontal="general" vertical="bottom" textRotation="0" wrapText="1" indent="0" justifyLastLine="0" shrinkToFit="0" readingOrder="0"/>
    </dxf>
    <dxf>
      <numFmt numFmtId="164" formatCode="00000"/>
    </dxf>
    <dxf>
      <font>
        <color theme="1"/>
      </font>
      <fill>
        <patternFill patternType="solid">
          <bgColor theme="7" tint="0.79998168889431442"/>
        </patternFill>
      </fill>
    </dxf>
    <dxf>
      <font>
        <color theme="1"/>
      </font>
      <fill>
        <patternFill patternType="solid">
          <bgColor theme="0"/>
        </patternFill>
      </fill>
      <border>
        <bottom style="thin">
          <color rgb="FF000000"/>
        </bottom>
      </border>
    </dxf>
    <dxf>
      <alignment horizontal="general" vertical="bottom" textRotation="0" wrapText="1" indent="0" justifyLastLine="0" shrinkToFit="0" readingOrder="0"/>
    </dxf>
    <dxf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A14D1D-80BB-4248-9A8B-692D6686C6DC}" name="In_Progress" displayName="In_Progress" ref="A2:M31">
  <autoFilter ref="A2:M31" xr:uid="{45A14D1D-80BB-4248-9A8B-692D6686C6DC}"/>
  <sortState xmlns:xlrd2="http://schemas.microsoft.com/office/spreadsheetml/2017/richdata2" ref="A3:I14">
    <sortCondition ref="B2:B14"/>
  </sortState>
  <tableColumns count="13">
    <tableColumn id="1" xr3:uid="{ED14BD60-C1E9-46C1-80A5-0D5E395AF078}" name="Item Name" totalsRowLabel="Total"/>
    <tableColumn id="13" xr3:uid="{5BEE40AD-E450-4A13-BFB5-1D0CED084DB3}" name="ID"/>
    <tableColumn id="8" xr3:uid="{E9AB9B46-3541-4715-8E5B-024096D78342}" name="Manufacturer"/>
    <tableColumn id="9" xr3:uid="{F7DAC8DD-8096-40F1-8780-1DB9CB4EC72F}" name="Year released"/>
    <tableColumn id="4" xr3:uid="{C5D14689-5BE8-4F27-9815-298E6CAC6990}" name="Special Reqs/Notes" dataDxfId="41"/>
    <tableColumn id="5" xr3:uid="{5338F6FB-43B0-44AF-AF8B-542FAC6CEDF0}" name="Charger"/>
    <tableColumn id="6" xr3:uid="{64D6C993-8518-4A7C-9BDA-A54D7DBFBA8E}" name="Working Battery"/>
    <tableColumn id="7" xr3:uid="{E5D987A3-C54A-4907-B710-79DB224E0008}" name="Current Status" totalsRowFunction="count"/>
    <tableColumn id="14" xr3:uid="{CBD4AC90-B0AA-4722-BB52-11B8B47FEEAF}" name="Date Updated"/>
    <tableColumn id="2" xr3:uid="{37627AD7-E085-4E4A-B466-1A160D855596}" name="Column1"/>
    <tableColumn id="3" xr3:uid="{CBA297C3-3F4B-485B-892B-6D603F77FA9F}" name="Column2"/>
    <tableColumn id="10" xr3:uid="{1B5601B3-07F5-42D9-80E6-14EBD7B95B0E}" name="Column3"/>
    <tableColumn id="11" xr3:uid="{22887553-46A7-4FAE-A752-5DE64C9CFAB1}" name="Column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B9E2046-2B17-40F3-B52D-EAF68E47122D}" name="In_Progress8" displayName="In_Progress8" ref="A2:G52">
  <autoFilter ref="A2:G52" xr:uid="{45A14D1D-80BB-4248-9A8B-692D6686C6DC}"/>
  <sortState xmlns:xlrd2="http://schemas.microsoft.com/office/spreadsheetml/2017/richdata2" ref="A3:G52">
    <sortCondition ref="B2:B52"/>
  </sortState>
  <tableColumns count="7">
    <tableColumn id="1" xr3:uid="{F96A3CC8-25D1-4CF8-877D-2816B26B7DC4}" name="Item Name" totalsRowLabel="Total"/>
    <tableColumn id="13" xr3:uid="{CC95B79B-E9C6-4478-8268-7B5E0708443A}" name="ID" dataDxfId="38"/>
    <tableColumn id="8" xr3:uid="{7D8F815E-A974-42A8-AC0B-AB8B951599A2}" name="Manufacturer"/>
    <tableColumn id="9" xr3:uid="{FEA94C75-B538-448A-A9F5-46F5A27E863D}" name="Year released"/>
    <tableColumn id="4" xr3:uid="{24998D92-36B7-4553-81E7-CB33711B31BB}" name="Special Reqs/Notes"/>
    <tableColumn id="7" xr3:uid="{88E5440D-0044-419E-A388-E2B7764154FF}" name="Current Status" totalsRowFunction="count"/>
    <tableColumn id="14" xr3:uid="{09369CC3-DE3D-4FB7-B9F3-6CECCCD38F45}" name="Date Update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387A264-FBB2-4483-BD6C-20083CB96D51}" name="In_Progress10" displayName="In_Progress10" ref="A2:I33">
  <autoFilter ref="A2:I33" xr:uid="{45A14D1D-80BB-4248-9A8B-692D6686C6DC}"/>
  <sortState xmlns:xlrd2="http://schemas.microsoft.com/office/spreadsheetml/2017/richdata2" ref="A3:I33">
    <sortCondition ref="B2:B33"/>
  </sortState>
  <tableColumns count="9">
    <tableColumn id="1" xr3:uid="{9A94D8DC-B148-4CF0-A23B-2C420B52C35D}" name="Item Name" totalsRowLabel="Total"/>
    <tableColumn id="13" xr3:uid="{EFFF3477-1A58-41CD-BFF3-45CE299505A7}" name="ID"/>
    <tableColumn id="8" xr3:uid="{C694899F-E385-4DE2-972A-7395A9633019}" name="Manufacturer"/>
    <tableColumn id="9" xr3:uid="{13C54556-A90A-4F9C-800D-3D838462DF46}" name="Year released"/>
    <tableColumn id="4" xr3:uid="{EB0C81D5-20B7-428A-9A74-64C6C59A39B6}" name="Special Reqs/Notes" dataDxfId="37"/>
    <tableColumn id="5" xr3:uid="{6DE19FBC-9BD8-456E-9FC5-F633F61E4A34}" name="Charger"/>
    <tableColumn id="6" xr3:uid="{68546225-0A78-43C1-A4F9-4D2E1DC008A3}" name="Working Battery"/>
    <tableColumn id="7" xr3:uid="{0D7FD365-4F73-4A57-B8A1-CFAC47267923}" name="Current Status" totalsRowFunction="count"/>
    <tableColumn id="14" xr3:uid="{918BAA47-80F0-456D-86C2-131B7D893353}" name="Date Update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92D5D5D-191C-4D78-B08D-0ABFBE06D7B2}" name="Ready_To_Donate7" displayName="Ready_To_Donate7" ref="A2:M34" totalsRowShown="0" tableBorderDxfId="24">
  <autoFilter ref="A2:M34" xr:uid="{D92D5D5D-191C-4D78-B08D-0ABFBE06D7B2}"/>
  <tableColumns count="13">
    <tableColumn id="1" xr3:uid="{73648E04-2EA1-4ADB-8E24-E7DDE01C0462}" name="Item"/>
    <tableColumn id="13" xr3:uid="{DB867F70-87B5-4AE3-B35F-568639EAF10F}" name="Manufacturer"/>
    <tableColumn id="10" xr3:uid="{2C0BEEB0-DF56-4C3E-A199-8338A12BCED4}" name="Type of Device"/>
    <tableColumn id="3" xr3:uid="{6E6AE907-D46F-4E72-8A6E-4086D6ED467F}" name="Est. Year"/>
    <tableColumn id="4" xr3:uid="{21962421-D6C5-44DF-8B4E-CE81A5E85189}" name="CPU"/>
    <tableColumn id="5" xr3:uid="{CA276052-8A68-41FA-B502-833DDEE2F0F8}" name="OS"/>
    <tableColumn id="6" xr3:uid="{38C5F018-4493-43C4-9328-52082FCC36C1}" name="RAM Amount"/>
    <tableColumn id="2" xr3:uid="{C85B34EB-06B2-40A8-BBCB-B5F170EF3F82}" name="RAM Generation"/>
    <tableColumn id="7" xr3:uid="{A686D1B3-031E-4544-A98D-8F3144FA62B0}" name="Storage"/>
    <tableColumn id="8" xr3:uid="{AB29939A-0AF4-4451-A6F4-2144F8957E73}" name="SSD/HDD"/>
    <tableColumn id="11" xr3:uid="{80B69989-1A34-4B32-B100-006B113A12B3}" name="Est. Value" dataDxfId="23"/>
    <tableColumn id="9" xr3:uid="{46DBF7E9-A65E-495E-A2E7-C18169DE9637}" name="Notes" dataDxfId="22"/>
    <tableColumn id="12" xr3:uid="{67EC036F-98F6-4C6B-BDD7-99DB9B6ADF97}" name="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100501-D05A-423B-A036-4B5D9B2ECD20}" name="Ready_To_Donate" displayName="Ready_To_Donate" ref="A2:O104" totalsRowShown="0" tableBorderDxfId="5">
  <autoFilter ref="A2:O104" xr:uid="{06396574-0271-4522-ADDB-9465953585FF}"/>
  <tableColumns count="15">
    <tableColumn id="1" xr3:uid="{549BC727-085C-45F5-9520-711A34B50F51}" name="Item"/>
    <tableColumn id="15" xr3:uid="{1796B66C-9564-4ED9-A973-A3E6CA0C2A0C}" name="Manufacturer"/>
    <tableColumn id="11" xr3:uid="{3C98AC72-613E-4EC8-8310-F9E3ED18CC90}" name="Type of Device"/>
    <tableColumn id="3" xr3:uid="{50863EE7-CAD0-400D-9B34-779EE33CD648}" name="Est. Year"/>
    <tableColumn id="4" xr3:uid="{00F5359B-A50E-41FF-A2BF-D2260FFBD06C}" name="CPU"/>
    <tableColumn id="5" xr3:uid="{B2D873F2-431E-43E8-96DC-0380E528EA00}" name="OS"/>
    <tableColumn id="6" xr3:uid="{67FB40A4-BE9A-4206-AF76-C81A6385AAC3}" name="RAM Amount"/>
    <tableColumn id="13" xr3:uid="{A9DF335A-A163-4AA9-8879-B5B359D716CC}" name="RAM Generation"/>
    <tableColumn id="7" xr3:uid="{03AC00D8-5308-407D-9BAC-3303A2B380B3}" name="Storage"/>
    <tableColumn id="8" xr3:uid="{CFFC1B93-1DA0-40C5-BC8E-01F5CAD8DB66}" name="SSD/HDD"/>
    <tableColumn id="10" xr3:uid="{71AF2E6E-D071-4784-865B-CA65E73CD28D}" name="Est. Value" dataDxfId="4"/>
    <tableColumn id="12" xr3:uid="{EFA4DB39-7CD3-4AA7-9335-2FEE3F14CF55}" name="Notes"/>
    <tableColumn id="9" xr3:uid="{2DC095C6-494B-405F-9E1B-C8849C64E6F1}" name="Date Donated" dataDxfId="3"/>
    <tableColumn id="14" xr3:uid="{4D76F748-9FDA-4C94-B04F-D8250CE6CE08}" name="Recipient" dataDxfId="2"/>
    <tableColumn id="2" xr3:uid="{77D1B06F-E180-45FD-ACE9-4BA0C5955E95}" name="Org?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027EC0E-CEEE-4641-ADD0-AA27230F7EC3}" name="Parts5" displayName="Parts5" ref="A2:E20" totalsRowShown="0">
  <autoFilter ref="A2:E20" xr:uid="{56EE61A1-6164-4CDE-8E4E-0C4F2D11BFE3}"/>
  <tableColumns count="5">
    <tableColumn id="1" xr3:uid="{A07F4B01-C838-4D46-AE29-85BAC951AA36}" name="Type"/>
    <tableColumn id="3" xr3:uid="{9AC978C2-FD83-43AA-9C69-BC026B4E6411}" name="Description"/>
    <tableColumn id="4" xr3:uid="{9B2129F6-659A-4DD2-94CF-8EC39B827718}" name="Qty"/>
    <tableColumn id="5" xr3:uid="{C24221AA-BF54-4384-AC51-1C5D1D76BE99}" name="Donated?" dataDxfId="1"/>
    <tableColumn id="2" xr3:uid="{1B36C5CD-E753-4327-9D04-48D37AAB944F}" name="Val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921E586-F6B8-46BF-BE64-CE91A4EEE8D6}" name="Parts56" displayName="Parts56" ref="A2:C30" totalsRowShown="0">
  <autoFilter ref="A2:C30" xr:uid="{56EE61A1-6164-4CDE-8E4E-0C4F2D11BFE3}"/>
  <tableColumns count="3">
    <tableColumn id="1" xr3:uid="{C29E963F-354B-4750-B17F-22461F6DC5F4}" name="Name"/>
    <tableColumn id="2" xr3:uid="{1155C0CA-025A-4922-8B0E-F2A817B3BB60}" name="Qty"/>
    <tableColumn id="8" xr3:uid="{D743202E-D377-4920-815B-09F9ED9CC36B}" name="Val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hyperlink" Target="mailto:smittyjr629@gmail.com" TargetMode="External"/><Relationship Id="rId1" Type="http://schemas.openxmlformats.org/officeDocument/2006/relationships/hyperlink" Target="mailto:boonebee22@g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AA6A1-7D43-4966-8813-F497D895A5C2}">
  <dimension ref="A1:M31"/>
  <sheetViews>
    <sheetView workbookViewId="0">
      <selection activeCell="A8" sqref="A8"/>
    </sheetView>
  </sheetViews>
  <sheetFormatPr defaultRowHeight="15"/>
  <cols>
    <col min="1" max="1" width="33.28515625" customWidth="1"/>
    <col min="2" max="2" width="6.140625" customWidth="1"/>
    <col min="3" max="3" width="14.28515625" bestFit="1" customWidth="1"/>
    <col min="4" max="4" width="14.42578125" bestFit="1" customWidth="1"/>
    <col min="5" max="5" width="35.5703125" customWidth="1"/>
    <col min="6" max="6" width="12.42578125" customWidth="1"/>
    <col min="7" max="7" width="19.42578125" customWidth="1"/>
    <col min="8" max="8" width="15.140625" bestFit="1" customWidth="1"/>
    <col min="9" max="9" width="14.7109375" bestFit="1" customWidth="1"/>
  </cols>
  <sheetData>
    <row r="1" spans="1:13">
      <c r="A1" s="32" t="s">
        <v>0</v>
      </c>
      <c r="B1" s="32"/>
      <c r="C1" s="32"/>
      <c r="D1" s="32"/>
      <c r="E1" s="32"/>
      <c r="F1" s="32"/>
      <c r="G1" s="32"/>
      <c r="H1" s="32"/>
      <c r="I1" s="32"/>
    </row>
    <row r="2" spans="1:1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>
      <c r="A3" t="s">
        <v>14</v>
      </c>
      <c r="B3">
        <v>58</v>
      </c>
      <c r="C3" t="s">
        <v>15</v>
      </c>
      <c r="D3">
        <v>2019</v>
      </c>
      <c r="E3" s="1" t="s">
        <v>16</v>
      </c>
      <c r="F3" t="s">
        <v>17</v>
      </c>
      <c r="H3" t="s">
        <v>18</v>
      </c>
      <c r="I3" s="16">
        <v>46045</v>
      </c>
    </row>
    <row r="4" spans="1:13">
      <c r="A4" t="s">
        <v>19</v>
      </c>
      <c r="B4">
        <v>62</v>
      </c>
      <c r="C4" t="s">
        <v>20</v>
      </c>
      <c r="D4">
        <v>2010</v>
      </c>
      <c r="E4" s="1" t="s">
        <v>21</v>
      </c>
      <c r="F4" t="s">
        <v>17</v>
      </c>
      <c r="H4" t="s">
        <v>18</v>
      </c>
      <c r="I4" s="16">
        <v>45673</v>
      </c>
    </row>
    <row r="5" spans="1:13" ht="30">
      <c r="A5" t="s">
        <v>22</v>
      </c>
      <c r="B5">
        <v>64</v>
      </c>
      <c r="C5" t="s">
        <v>23</v>
      </c>
      <c r="D5">
        <v>2010</v>
      </c>
      <c r="E5" s="1" t="s">
        <v>24</v>
      </c>
      <c r="F5" t="s">
        <v>17</v>
      </c>
      <c r="H5" t="s">
        <v>18</v>
      </c>
      <c r="I5" s="16">
        <v>46150</v>
      </c>
    </row>
    <row r="6" spans="1:13">
      <c r="A6" t="s">
        <v>25</v>
      </c>
      <c r="B6">
        <v>66</v>
      </c>
      <c r="C6" t="s">
        <v>23</v>
      </c>
      <c r="D6">
        <v>2020</v>
      </c>
      <c r="E6" s="1"/>
      <c r="F6" t="s">
        <v>17</v>
      </c>
      <c r="H6" t="s">
        <v>26</v>
      </c>
      <c r="I6" s="16">
        <v>46001</v>
      </c>
    </row>
    <row r="7" spans="1:13">
      <c r="A7" t="s">
        <v>27</v>
      </c>
      <c r="B7">
        <v>67</v>
      </c>
      <c r="C7" t="s">
        <v>20</v>
      </c>
      <c r="D7">
        <v>2013</v>
      </c>
      <c r="E7" s="1"/>
      <c r="F7" t="s">
        <v>28</v>
      </c>
      <c r="H7" t="s">
        <v>26</v>
      </c>
      <c r="I7" s="16">
        <v>46150</v>
      </c>
    </row>
    <row r="9" spans="1:13">
      <c r="A9" t="s">
        <v>29</v>
      </c>
      <c r="B9">
        <v>70</v>
      </c>
      <c r="C9" t="s">
        <v>30</v>
      </c>
      <c r="D9">
        <v>2012</v>
      </c>
      <c r="E9" s="1"/>
      <c r="F9" t="s">
        <v>28</v>
      </c>
      <c r="H9" t="s">
        <v>26</v>
      </c>
      <c r="I9" s="16">
        <v>46001</v>
      </c>
    </row>
    <row r="10" spans="1:13">
      <c r="A10" t="s">
        <v>31</v>
      </c>
      <c r="B10">
        <v>71</v>
      </c>
      <c r="C10" t="s">
        <v>32</v>
      </c>
      <c r="D10">
        <v>2016</v>
      </c>
      <c r="E10" s="1"/>
      <c r="F10" t="s">
        <v>28</v>
      </c>
      <c r="H10" t="s">
        <v>26</v>
      </c>
      <c r="I10" s="16">
        <v>46001</v>
      </c>
    </row>
    <row r="11" spans="1:13" ht="30">
      <c r="A11" t="s">
        <v>33</v>
      </c>
      <c r="B11">
        <v>72</v>
      </c>
      <c r="C11" t="s">
        <v>30</v>
      </c>
      <c r="D11">
        <v>2011</v>
      </c>
      <c r="E11" s="1" t="s">
        <v>34</v>
      </c>
      <c r="F11" t="s">
        <v>17</v>
      </c>
      <c r="H11" t="s">
        <v>18</v>
      </c>
      <c r="I11" s="16">
        <v>46038</v>
      </c>
    </row>
    <row r="12" spans="1:13">
      <c r="A12" t="s">
        <v>35</v>
      </c>
      <c r="B12">
        <v>73</v>
      </c>
      <c r="C12" t="s">
        <v>15</v>
      </c>
      <c r="D12">
        <v>2023</v>
      </c>
      <c r="E12" s="1" t="s">
        <v>36</v>
      </c>
      <c r="F12" t="s">
        <v>17</v>
      </c>
      <c r="G12" t="s">
        <v>37</v>
      </c>
      <c r="H12" t="s">
        <v>18</v>
      </c>
      <c r="I12" s="16">
        <v>46001</v>
      </c>
    </row>
    <row r="13" spans="1:13" ht="45">
      <c r="A13" t="s">
        <v>38</v>
      </c>
      <c r="B13">
        <v>76</v>
      </c>
      <c r="C13" t="s">
        <v>39</v>
      </c>
      <c r="D13">
        <v>2011</v>
      </c>
      <c r="E13" s="1" t="s">
        <v>40</v>
      </c>
      <c r="F13" t="s">
        <v>17</v>
      </c>
      <c r="H13" t="s">
        <v>18</v>
      </c>
      <c r="I13" s="16">
        <v>46101</v>
      </c>
    </row>
    <row r="14" spans="1:13">
      <c r="A14" t="s">
        <v>41</v>
      </c>
      <c r="B14">
        <v>77</v>
      </c>
      <c r="C14" t="s">
        <v>39</v>
      </c>
      <c r="D14">
        <v>2018</v>
      </c>
      <c r="E14" s="1"/>
      <c r="F14" t="s">
        <v>17</v>
      </c>
      <c r="H14" t="s">
        <v>26</v>
      </c>
      <c r="I14" s="16">
        <v>46001</v>
      </c>
    </row>
    <row r="15" spans="1:13" ht="30">
      <c r="A15" t="s">
        <v>42</v>
      </c>
      <c r="B15">
        <v>116</v>
      </c>
      <c r="C15" t="s">
        <v>39</v>
      </c>
      <c r="D15">
        <v>2020</v>
      </c>
      <c r="E15" s="1" t="s">
        <v>43</v>
      </c>
      <c r="F15" t="s">
        <v>17</v>
      </c>
      <c r="H15" t="s">
        <v>18</v>
      </c>
      <c r="I15" s="16">
        <v>46094</v>
      </c>
    </row>
    <row r="16" spans="1:13" ht="30">
      <c r="A16" t="s">
        <v>44</v>
      </c>
      <c r="B16">
        <v>120</v>
      </c>
      <c r="C16" t="s">
        <v>15</v>
      </c>
      <c r="D16">
        <v>2012</v>
      </c>
      <c r="E16" s="1" t="s">
        <v>45</v>
      </c>
      <c r="F16" t="s">
        <v>17</v>
      </c>
      <c r="H16" t="s">
        <v>18</v>
      </c>
      <c r="I16" s="16">
        <v>46108</v>
      </c>
    </row>
    <row r="17" spans="1:12">
      <c r="A17" t="s">
        <v>46</v>
      </c>
      <c r="B17">
        <v>121</v>
      </c>
      <c r="C17" t="s">
        <v>23</v>
      </c>
      <c r="D17">
        <v>2017</v>
      </c>
      <c r="E17" s="1"/>
      <c r="F17" t="s">
        <v>17</v>
      </c>
      <c r="H17" t="s">
        <v>26</v>
      </c>
      <c r="I17" s="16">
        <v>46094</v>
      </c>
    </row>
    <row r="18" spans="1:12" ht="30">
      <c r="A18" t="s">
        <v>47</v>
      </c>
      <c r="B18">
        <v>124</v>
      </c>
      <c r="C18" t="s">
        <v>48</v>
      </c>
      <c r="D18">
        <v>2017</v>
      </c>
      <c r="E18" s="1" t="s">
        <v>49</v>
      </c>
      <c r="F18" t="s">
        <v>17</v>
      </c>
      <c r="G18" t="s">
        <v>37</v>
      </c>
      <c r="H18" t="s">
        <v>18</v>
      </c>
      <c r="I18" s="16">
        <v>46108</v>
      </c>
    </row>
    <row r="19" spans="1:12" ht="30">
      <c r="A19" t="s">
        <v>50</v>
      </c>
      <c r="B19">
        <v>134</v>
      </c>
      <c r="C19" t="s">
        <v>30</v>
      </c>
      <c r="D19">
        <v>2019</v>
      </c>
      <c r="E19" s="1" t="s">
        <v>51</v>
      </c>
      <c r="F19" t="s">
        <v>28</v>
      </c>
      <c r="H19" t="s">
        <v>18</v>
      </c>
      <c r="I19" s="16">
        <v>46094</v>
      </c>
    </row>
    <row r="20" spans="1:12">
      <c r="A20" t="s">
        <v>52</v>
      </c>
      <c r="B20">
        <v>136</v>
      </c>
      <c r="C20" t="s">
        <v>53</v>
      </c>
      <c r="D20">
        <v>2017</v>
      </c>
      <c r="E20" s="1" t="s">
        <v>54</v>
      </c>
      <c r="F20" t="s">
        <v>17</v>
      </c>
      <c r="H20" t="s">
        <v>18</v>
      </c>
      <c r="I20" s="16">
        <v>46108</v>
      </c>
    </row>
    <row r="21" spans="1:12">
      <c r="A21" t="s">
        <v>55</v>
      </c>
      <c r="B21">
        <v>115</v>
      </c>
      <c r="C21" t="s">
        <v>39</v>
      </c>
      <c r="D21">
        <v>2019</v>
      </c>
      <c r="E21" t="s">
        <v>56</v>
      </c>
      <c r="F21" t="s">
        <v>17</v>
      </c>
      <c r="G21" t="s">
        <v>57</v>
      </c>
      <c r="H21" t="s">
        <v>18</v>
      </c>
      <c r="I21" s="16">
        <v>46154</v>
      </c>
    </row>
    <row r="22" spans="1:12">
      <c r="E22" s="1"/>
    </row>
    <row r="23" spans="1:12">
      <c r="E23" s="1"/>
      <c r="K23" s="19"/>
      <c r="L23" s="1"/>
    </row>
    <row r="24" spans="1:12">
      <c r="E24" s="30"/>
    </row>
    <row r="25" spans="1:12">
      <c r="E25" s="1"/>
    </row>
    <row r="26" spans="1:12">
      <c r="E26" s="1"/>
    </row>
    <row r="27" spans="1:12">
      <c r="E27" s="1"/>
    </row>
    <row r="28" spans="1:12">
      <c r="E28" s="1"/>
    </row>
    <row r="29" spans="1:12">
      <c r="E29" s="1"/>
    </row>
    <row r="30" spans="1:12">
      <c r="E30" s="1"/>
    </row>
    <row r="31" spans="1:12">
      <c r="E31" s="1"/>
    </row>
  </sheetData>
  <mergeCells count="1">
    <mergeCell ref="A1:I1"/>
  </mergeCells>
  <phoneticPr fontId="2" type="noConversion"/>
  <conditionalFormatting sqref="A21:B21 D21:I21 J23:L23">
    <cfRule type="expression" dxfId="43" priority="1">
      <formula>ISEVEN(ROW())</formula>
    </cfRule>
  </conditionalFormatting>
  <conditionalFormatting sqref="A21:B21 D21:I21 J23:M23">
    <cfRule type="expression" dxfId="42" priority="2">
      <formula>ISODD(ROW())</formula>
    </cfRule>
  </conditionalFormatting>
  <dataValidations count="5">
    <dataValidation type="list" allowBlank="1" showInputMessage="1" showErrorMessage="1" sqref="H18 H3:H7 H9:H16" xr:uid="{BDBDE7E9-9FC3-44B3-919F-CEEE026A72CD}">
      <formula1>"Not Started, In Progress, Scrapped, Unknown"</formula1>
    </dataValidation>
    <dataValidation type="list" allowBlank="1" showInputMessage="1" showErrorMessage="1" sqref="G18 G3:G7 G9:G16" xr:uid="{B3C7309D-E7FF-4409-A545-48D8D2AB8658}">
      <formula1>"Yes,No"</formula1>
    </dataValidation>
    <dataValidation type="whole" allowBlank="1" showInputMessage="1" showErrorMessage="1" sqref="B18 B3:B7 B9:B16" xr:uid="{16B18C16-4889-4A0C-A4CE-D22AA5030E8B}">
      <formula1>0</formula1>
      <formula2>2000</formula2>
    </dataValidation>
    <dataValidation type="list" allowBlank="1" showInputMessage="1" showErrorMessage="1" sqref="F18 F3:F7 F9:F16" xr:uid="{B98105AE-173E-4A15-99FD-BB956E15C3C9}">
      <formula1>"Included, Not Included"</formula1>
    </dataValidation>
    <dataValidation type="whole" allowBlank="1" showInputMessage="1" showErrorMessage="1" sqref="M23" xr:uid="{BD4480FF-AB8D-4446-AB7A-01C4C2A99ADB}">
      <formula1>1</formula1>
      <formula2>2000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A6183-B753-401C-B21E-C502785DFA3D}">
  <dimension ref="A1:G52"/>
  <sheetViews>
    <sheetView tabSelected="1" topLeftCell="A29" workbookViewId="0">
      <selection activeCell="A45" sqref="A45:XFD45"/>
    </sheetView>
  </sheetViews>
  <sheetFormatPr defaultRowHeight="15"/>
  <cols>
    <col min="1" max="1" width="33.28515625" customWidth="1"/>
    <col min="2" max="2" width="7.5703125" style="12" customWidth="1"/>
    <col min="3" max="3" width="14.28515625" bestFit="1" customWidth="1"/>
    <col min="4" max="4" width="14.42578125" bestFit="1" customWidth="1"/>
    <col min="5" max="5" width="35.5703125" customWidth="1"/>
    <col min="6" max="6" width="15.140625" bestFit="1" customWidth="1"/>
    <col min="7" max="7" width="14.7109375" bestFit="1" customWidth="1"/>
  </cols>
  <sheetData>
    <row r="1" spans="1:7">
      <c r="A1" s="32" t="s">
        <v>58</v>
      </c>
      <c r="B1" s="32"/>
      <c r="C1" s="32"/>
      <c r="D1" s="32"/>
      <c r="E1" s="32"/>
      <c r="F1" s="32"/>
      <c r="G1" s="32"/>
    </row>
    <row r="2" spans="1:7">
      <c r="A2" t="s">
        <v>1</v>
      </c>
      <c r="B2" s="12" t="s">
        <v>2</v>
      </c>
      <c r="C2" t="s">
        <v>3</v>
      </c>
      <c r="D2" t="s">
        <v>4</v>
      </c>
      <c r="E2" t="s">
        <v>5</v>
      </c>
      <c r="F2" t="s">
        <v>8</v>
      </c>
      <c r="G2" t="s">
        <v>9</v>
      </c>
    </row>
    <row r="3" spans="1:7">
      <c r="A3" s="4" t="s">
        <v>59</v>
      </c>
      <c r="B3" s="13">
        <v>1</v>
      </c>
      <c r="C3" s="5" t="s">
        <v>30</v>
      </c>
      <c r="D3" s="5">
        <v>2015</v>
      </c>
      <c r="E3" s="6"/>
      <c r="F3" s="5" t="s">
        <v>26</v>
      </c>
      <c r="G3" s="7">
        <v>46000</v>
      </c>
    </row>
    <row r="4" spans="1:7">
      <c r="A4" s="8" t="s">
        <v>59</v>
      </c>
      <c r="B4" s="14">
        <v>2</v>
      </c>
      <c r="C4" s="9" t="s">
        <v>30</v>
      </c>
      <c r="D4" s="9">
        <v>2015</v>
      </c>
      <c r="E4" s="10"/>
      <c r="F4" s="9" t="s">
        <v>26</v>
      </c>
      <c r="G4" s="11">
        <v>46000</v>
      </c>
    </row>
    <row r="5" spans="1:7" ht="15" customHeight="1">
      <c r="A5" s="4" t="s">
        <v>59</v>
      </c>
      <c r="B5" s="13">
        <v>3</v>
      </c>
      <c r="C5" s="5" t="s">
        <v>30</v>
      </c>
      <c r="D5" s="5">
        <v>2015</v>
      </c>
      <c r="E5" s="6" t="s">
        <v>60</v>
      </c>
      <c r="F5" s="5" t="s">
        <v>18</v>
      </c>
      <c r="G5" s="7">
        <v>46094</v>
      </c>
    </row>
    <row r="6" spans="1:7" ht="45">
      <c r="A6" s="8" t="s">
        <v>59</v>
      </c>
      <c r="B6" s="14">
        <v>4</v>
      </c>
      <c r="C6" s="9" t="s">
        <v>30</v>
      </c>
      <c r="D6" s="9">
        <v>2015</v>
      </c>
      <c r="E6" s="10" t="s">
        <v>61</v>
      </c>
      <c r="F6" s="9" t="s">
        <v>18</v>
      </c>
      <c r="G6" s="11">
        <v>46115</v>
      </c>
    </row>
    <row r="7" spans="1:7">
      <c r="A7" s="4" t="s">
        <v>59</v>
      </c>
      <c r="B7" s="13">
        <v>5</v>
      </c>
      <c r="C7" s="5" t="s">
        <v>30</v>
      </c>
      <c r="D7" s="5">
        <v>2015</v>
      </c>
      <c r="E7" s="6"/>
      <c r="F7" s="5" t="s">
        <v>26</v>
      </c>
      <c r="G7" s="7">
        <v>46000</v>
      </c>
    </row>
    <row r="8" spans="1:7" ht="30">
      <c r="A8" s="8" t="s">
        <v>59</v>
      </c>
      <c r="B8" s="14">
        <v>6</v>
      </c>
      <c r="C8" s="9" t="s">
        <v>30</v>
      </c>
      <c r="D8" s="9">
        <v>2015</v>
      </c>
      <c r="E8" s="10" t="s">
        <v>62</v>
      </c>
      <c r="F8" s="9" t="s">
        <v>18</v>
      </c>
      <c r="G8" s="11">
        <v>46057</v>
      </c>
    </row>
    <row r="9" spans="1:7">
      <c r="A9" s="4" t="s">
        <v>59</v>
      </c>
      <c r="B9" s="13">
        <v>7</v>
      </c>
      <c r="C9" s="5" t="s">
        <v>30</v>
      </c>
      <c r="D9" s="5">
        <v>2015</v>
      </c>
      <c r="E9" s="6"/>
      <c r="F9" s="5" t="s">
        <v>26</v>
      </c>
      <c r="G9" s="7">
        <v>46000</v>
      </c>
    </row>
    <row r="10" spans="1:7">
      <c r="A10" s="8"/>
      <c r="B10" s="14"/>
      <c r="C10" s="9"/>
      <c r="D10" s="9"/>
      <c r="E10" s="10"/>
      <c r="F10" s="9"/>
      <c r="G10" s="11"/>
    </row>
    <row r="11" spans="1:7">
      <c r="A11" s="4" t="s">
        <v>59</v>
      </c>
      <c r="B11" s="13">
        <v>9</v>
      </c>
      <c r="C11" s="5" t="s">
        <v>30</v>
      </c>
      <c r="D11" s="5">
        <v>2015</v>
      </c>
      <c r="E11" s="6"/>
      <c r="F11" s="5" t="s">
        <v>26</v>
      </c>
      <c r="G11" s="7">
        <v>46000</v>
      </c>
    </row>
    <row r="12" spans="1:7">
      <c r="A12" s="8"/>
      <c r="B12" s="14"/>
      <c r="C12" s="9"/>
      <c r="D12" s="9"/>
      <c r="E12" s="10"/>
      <c r="F12" s="9"/>
      <c r="G12" s="11"/>
    </row>
    <row r="13" spans="1:7">
      <c r="A13" s="8" t="s">
        <v>63</v>
      </c>
      <c r="B13" s="14">
        <v>14</v>
      </c>
      <c r="C13" s="9" t="s">
        <v>30</v>
      </c>
      <c r="D13" s="9">
        <v>2016</v>
      </c>
      <c r="E13" s="10" t="s">
        <v>64</v>
      </c>
      <c r="F13" s="9" t="s">
        <v>18</v>
      </c>
      <c r="G13" s="11">
        <v>46000</v>
      </c>
    </row>
    <row r="14" spans="1:7">
      <c r="A14" s="4" t="s">
        <v>63</v>
      </c>
      <c r="B14" s="13">
        <v>18</v>
      </c>
      <c r="C14" s="5" t="s">
        <v>30</v>
      </c>
      <c r="D14" s="5">
        <v>2016</v>
      </c>
      <c r="E14" s="6"/>
      <c r="F14" s="5" t="s">
        <v>26</v>
      </c>
      <c r="G14" s="7">
        <v>46000</v>
      </c>
    </row>
    <row r="15" spans="1:7">
      <c r="A15" s="8" t="s">
        <v>63</v>
      </c>
      <c r="B15" s="14">
        <v>19</v>
      </c>
      <c r="C15" s="9" t="s">
        <v>30</v>
      </c>
      <c r="D15" s="9">
        <v>2016</v>
      </c>
      <c r="E15" s="10"/>
      <c r="F15" s="9" t="s">
        <v>26</v>
      </c>
      <c r="G15" s="11">
        <v>46000</v>
      </c>
    </row>
    <row r="16" spans="1:7">
      <c r="A16" s="4" t="s">
        <v>63</v>
      </c>
      <c r="B16" s="13">
        <v>20</v>
      </c>
      <c r="C16" s="5" t="s">
        <v>30</v>
      </c>
      <c r="D16" s="5">
        <v>2016</v>
      </c>
      <c r="E16" s="6"/>
      <c r="F16" s="5" t="s">
        <v>26</v>
      </c>
      <c r="G16" s="7">
        <v>46000</v>
      </c>
    </row>
    <row r="17" spans="1:7">
      <c r="A17" s="4" t="s">
        <v>63</v>
      </c>
      <c r="B17" s="14">
        <v>21</v>
      </c>
      <c r="C17" s="9" t="s">
        <v>30</v>
      </c>
      <c r="D17" s="9">
        <v>2016</v>
      </c>
      <c r="E17" s="10"/>
      <c r="F17" s="9" t="s">
        <v>26</v>
      </c>
      <c r="G17" s="11">
        <v>46000</v>
      </c>
    </row>
    <row r="18" spans="1:7">
      <c r="A18" s="4" t="s">
        <v>63</v>
      </c>
      <c r="B18" s="13">
        <v>23</v>
      </c>
      <c r="C18" s="5" t="s">
        <v>30</v>
      </c>
      <c r="D18" s="5">
        <v>2016</v>
      </c>
      <c r="E18" s="6"/>
      <c r="F18" s="5" t="s">
        <v>18</v>
      </c>
      <c r="G18" s="7">
        <v>46057</v>
      </c>
    </row>
    <row r="19" spans="1:7">
      <c r="A19" s="8" t="s">
        <v>63</v>
      </c>
      <c r="B19" s="14">
        <v>24</v>
      </c>
      <c r="C19" s="9" t="s">
        <v>30</v>
      </c>
      <c r="D19" s="9">
        <v>2016</v>
      </c>
      <c r="E19" s="10"/>
      <c r="F19" s="9" t="s">
        <v>26</v>
      </c>
      <c r="G19" s="11">
        <v>46000</v>
      </c>
    </row>
    <row r="20" spans="1:7">
      <c r="A20" s="4" t="s">
        <v>63</v>
      </c>
      <c r="B20" s="13">
        <v>25</v>
      </c>
      <c r="C20" s="5" t="s">
        <v>30</v>
      </c>
      <c r="D20" s="5">
        <v>2016</v>
      </c>
      <c r="E20" s="6"/>
      <c r="F20" s="5" t="s">
        <v>26</v>
      </c>
      <c r="G20" s="7">
        <v>46000</v>
      </c>
    </row>
    <row r="21" spans="1:7">
      <c r="A21" s="8" t="s">
        <v>63</v>
      </c>
      <c r="B21" s="14">
        <v>27</v>
      </c>
      <c r="C21" s="9" t="s">
        <v>30</v>
      </c>
      <c r="D21" s="9">
        <v>2016</v>
      </c>
      <c r="E21" s="10"/>
      <c r="F21" s="9" t="s">
        <v>26</v>
      </c>
      <c r="G21" s="11">
        <v>46000</v>
      </c>
    </row>
    <row r="22" spans="1:7">
      <c r="A22" s="4" t="s">
        <v>65</v>
      </c>
      <c r="B22" s="13">
        <v>28</v>
      </c>
      <c r="C22" s="5" t="s">
        <v>30</v>
      </c>
      <c r="D22" s="5">
        <v>2013</v>
      </c>
      <c r="E22" s="6"/>
      <c r="F22" s="5" t="s">
        <v>26</v>
      </c>
      <c r="G22" s="7">
        <v>46000</v>
      </c>
    </row>
    <row r="23" spans="1:7">
      <c r="A23" s="8" t="s">
        <v>66</v>
      </c>
      <c r="B23" s="14">
        <v>31</v>
      </c>
      <c r="C23" s="9" t="s">
        <v>30</v>
      </c>
      <c r="D23" s="9">
        <v>2017</v>
      </c>
      <c r="E23" s="10" t="s">
        <v>67</v>
      </c>
      <c r="F23" s="9" t="s">
        <v>18</v>
      </c>
      <c r="G23" s="11">
        <v>46132</v>
      </c>
    </row>
    <row r="24" spans="1:7">
      <c r="A24" s="4" t="s">
        <v>65</v>
      </c>
      <c r="B24" s="13">
        <v>32</v>
      </c>
      <c r="C24" s="5" t="s">
        <v>30</v>
      </c>
      <c r="D24" s="5">
        <v>2013</v>
      </c>
      <c r="E24" s="6"/>
      <c r="F24" s="5" t="s">
        <v>18</v>
      </c>
      <c r="G24" s="7">
        <v>46052</v>
      </c>
    </row>
    <row r="25" spans="1:7">
      <c r="A25" s="8" t="s">
        <v>65</v>
      </c>
      <c r="B25" s="14">
        <v>33</v>
      </c>
      <c r="C25" s="9" t="s">
        <v>30</v>
      </c>
      <c r="D25" s="9">
        <v>2013</v>
      </c>
      <c r="E25" s="10"/>
      <c r="F25" s="9" t="s">
        <v>26</v>
      </c>
      <c r="G25" s="11">
        <v>46000</v>
      </c>
    </row>
    <row r="26" spans="1:7">
      <c r="A26" s="8" t="s">
        <v>65</v>
      </c>
      <c r="B26" s="14">
        <v>37</v>
      </c>
      <c r="C26" s="9" t="s">
        <v>30</v>
      </c>
      <c r="D26" s="9">
        <v>2013</v>
      </c>
      <c r="E26" s="10" t="s">
        <v>68</v>
      </c>
      <c r="F26" s="9" t="s">
        <v>18</v>
      </c>
      <c r="G26" s="11">
        <v>46122</v>
      </c>
    </row>
    <row r="27" spans="1:7">
      <c r="A27" s="4" t="s">
        <v>69</v>
      </c>
      <c r="B27" s="13">
        <v>38</v>
      </c>
      <c r="C27" s="5" t="s">
        <v>30</v>
      </c>
      <c r="D27" s="5">
        <v>2009</v>
      </c>
      <c r="E27" s="6"/>
      <c r="F27" s="5" t="s">
        <v>26</v>
      </c>
      <c r="G27" s="7">
        <v>46000</v>
      </c>
    </row>
    <row r="28" spans="1:7">
      <c r="A28" s="8" t="s">
        <v>70</v>
      </c>
      <c r="B28" s="14">
        <v>42</v>
      </c>
      <c r="C28" s="9" t="s">
        <v>30</v>
      </c>
      <c r="D28" s="9">
        <v>2017</v>
      </c>
      <c r="E28" s="10"/>
      <c r="F28" s="9" t="s">
        <v>26</v>
      </c>
      <c r="G28" s="11">
        <v>46000</v>
      </c>
    </row>
    <row r="29" spans="1:7">
      <c r="A29" s="8" t="s">
        <v>71</v>
      </c>
      <c r="B29" s="14">
        <v>43</v>
      </c>
      <c r="C29" s="9" t="s">
        <v>30</v>
      </c>
      <c r="D29" s="9">
        <v>2014</v>
      </c>
      <c r="E29" s="10"/>
      <c r="F29" s="9" t="s">
        <v>26</v>
      </c>
      <c r="G29" s="11">
        <v>46000</v>
      </c>
    </row>
    <row r="30" spans="1:7">
      <c r="A30" s="8" t="s">
        <v>72</v>
      </c>
      <c r="B30" s="14">
        <v>44</v>
      </c>
      <c r="C30" s="9" t="s">
        <v>30</v>
      </c>
      <c r="D30" s="9">
        <v>2017</v>
      </c>
      <c r="E30" s="10"/>
      <c r="F30" s="9" t="s">
        <v>26</v>
      </c>
      <c r="G30" s="11">
        <v>46000</v>
      </c>
    </row>
    <row r="31" spans="1:7">
      <c r="A31" s="8" t="s">
        <v>70</v>
      </c>
      <c r="B31" s="14">
        <v>45</v>
      </c>
      <c r="C31" s="9" t="s">
        <v>30</v>
      </c>
      <c r="D31" s="9">
        <v>2017</v>
      </c>
      <c r="E31" s="10"/>
      <c r="F31" s="9" t="s">
        <v>26</v>
      </c>
      <c r="G31" s="11">
        <v>46000</v>
      </c>
    </row>
    <row r="32" spans="1:7">
      <c r="A32" s="8" t="s">
        <v>73</v>
      </c>
      <c r="B32" s="14">
        <v>46</v>
      </c>
      <c r="C32" s="9" t="s">
        <v>39</v>
      </c>
      <c r="D32" s="9">
        <v>2020</v>
      </c>
      <c r="E32" s="10"/>
      <c r="F32" s="9" t="s">
        <v>26</v>
      </c>
      <c r="G32" s="11">
        <v>46000</v>
      </c>
    </row>
    <row r="33" spans="1:7">
      <c r="A33" t="s">
        <v>65</v>
      </c>
      <c r="B33" s="12">
        <v>80</v>
      </c>
      <c r="C33" t="s">
        <v>30</v>
      </c>
      <c r="D33">
        <v>2013</v>
      </c>
      <c r="E33" t="s">
        <v>74</v>
      </c>
      <c r="F33" t="s">
        <v>18</v>
      </c>
      <c r="G33" s="16">
        <v>46136</v>
      </c>
    </row>
    <row r="34" spans="1:7">
      <c r="A34" t="s">
        <v>75</v>
      </c>
      <c r="B34" s="12">
        <v>82</v>
      </c>
      <c r="C34" t="s">
        <v>30</v>
      </c>
      <c r="D34">
        <v>2014</v>
      </c>
      <c r="F34" t="s">
        <v>26</v>
      </c>
      <c r="G34" s="16">
        <v>46001</v>
      </c>
    </row>
    <row r="35" spans="1:7">
      <c r="A35" t="s">
        <v>76</v>
      </c>
      <c r="B35" s="12">
        <v>89</v>
      </c>
      <c r="C35" t="s">
        <v>77</v>
      </c>
      <c r="D35">
        <v>2014</v>
      </c>
      <c r="F35" t="s">
        <v>26</v>
      </c>
      <c r="G35" s="16">
        <v>46031</v>
      </c>
    </row>
    <row r="36" spans="1:7">
      <c r="A36" t="s">
        <v>65</v>
      </c>
      <c r="B36" s="12">
        <v>35</v>
      </c>
      <c r="C36" t="s">
        <v>30</v>
      </c>
      <c r="D36">
        <v>2013</v>
      </c>
      <c r="E36" t="s">
        <v>78</v>
      </c>
      <c r="F36" t="s">
        <v>18</v>
      </c>
      <c r="G36" s="16">
        <v>46057</v>
      </c>
    </row>
    <row r="37" spans="1:7">
      <c r="A37" t="s">
        <v>79</v>
      </c>
      <c r="B37" s="12">
        <v>102</v>
      </c>
      <c r="C37" t="s">
        <v>77</v>
      </c>
      <c r="D37">
        <v>2018</v>
      </c>
      <c r="E37" t="s">
        <v>80</v>
      </c>
      <c r="F37" t="s">
        <v>18</v>
      </c>
      <c r="G37" s="16">
        <v>46150</v>
      </c>
    </row>
    <row r="38" spans="1:7">
      <c r="A38" t="s">
        <v>76</v>
      </c>
      <c r="B38" s="12">
        <v>104</v>
      </c>
      <c r="C38" t="s">
        <v>77</v>
      </c>
      <c r="D38">
        <v>2014</v>
      </c>
      <c r="F38" t="s">
        <v>26</v>
      </c>
      <c r="G38" s="16">
        <v>46066</v>
      </c>
    </row>
    <row r="39" spans="1:7">
      <c r="A39" t="s">
        <v>76</v>
      </c>
      <c r="B39" s="12">
        <v>105</v>
      </c>
      <c r="C39" t="s">
        <v>77</v>
      </c>
      <c r="D39">
        <v>2014</v>
      </c>
      <c r="F39" t="s">
        <v>26</v>
      </c>
      <c r="G39" s="16">
        <v>46066</v>
      </c>
    </row>
    <row r="40" spans="1:7">
      <c r="A40" t="s">
        <v>76</v>
      </c>
      <c r="B40" s="12">
        <v>106</v>
      </c>
      <c r="C40" t="s">
        <v>77</v>
      </c>
      <c r="D40">
        <v>2014</v>
      </c>
      <c r="F40" t="s">
        <v>26</v>
      </c>
      <c r="G40" s="16">
        <v>46066</v>
      </c>
    </row>
    <row r="41" spans="1:7">
      <c r="A41" t="s">
        <v>81</v>
      </c>
      <c r="B41" s="12">
        <v>112</v>
      </c>
      <c r="C41" t="s">
        <v>82</v>
      </c>
      <c r="F41" t="s">
        <v>26</v>
      </c>
      <c r="G41" s="16">
        <v>46092</v>
      </c>
    </row>
    <row r="42" spans="1:7">
      <c r="A42" t="s">
        <v>83</v>
      </c>
      <c r="B42" s="12">
        <v>128</v>
      </c>
      <c r="C42" t="s">
        <v>15</v>
      </c>
      <c r="D42">
        <v>2018</v>
      </c>
      <c r="E42" t="s">
        <v>84</v>
      </c>
      <c r="F42" t="s">
        <v>18</v>
      </c>
      <c r="G42" s="16">
        <v>46150</v>
      </c>
    </row>
    <row r="43" spans="1:7">
      <c r="A43" t="s">
        <v>85</v>
      </c>
      <c r="B43" s="12">
        <v>130</v>
      </c>
      <c r="C43" t="s">
        <v>15</v>
      </c>
      <c r="D43">
        <v>2015</v>
      </c>
      <c r="E43" t="s">
        <v>86</v>
      </c>
      <c r="F43" t="s">
        <v>18</v>
      </c>
      <c r="G43" s="16">
        <v>46101</v>
      </c>
    </row>
    <row r="44" spans="1:7">
      <c r="A44" t="s">
        <v>87</v>
      </c>
      <c r="B44" s="12">
        <v>132</v>
      </c>
      <c r="C44" t="s">
        <v>15</v>
      </c>
      <c r="D44">
        <v>2020</v>
      </c>
      <c r="E44" t="s">
        <v>88</v>
      </c>
      <c r="F44" t="s">
        <v>18</v>
      </c>
      <c r="G44" s="16">
        <v>46094</v>
      </c>
    </row>
    <row r="45" spans="1:7">
      <c r="A45" t="s">
        <v>89</v>
      </c>
      <c r="B45" s="12">
        <v>135</v>
      </c>
      <c r="C45" t="s">
        <v>15</v>
      </c>
      <c r="D45">
        <v>2016</v>
      </c>
      <c r="F45" t="s">
        <v>26</v>
      </c>
      <c r="G45" s="16">
        <v>46094</v>
      </c>
    </row>
    <row r="46" spans="1:7">
      <c r="A46" t="s">
        <v>72</v>
      </c>
      <c r="B46" s="12">
        <v>139</v>
      </c>
      <c r="C46" t="s">
        <v>15</v>
      </c>
      <c r="D46">
        <v>2018</v>
      </c>
      <c r="F46" t="s">
        <v>26</v>
      </c>
      <c r="G46" s="16">
        <v>46115</v>
      </c>
    </row>
    <row r="47" spans="1:7">
      <c r="A47" t="s">
        <v>65</v>
      </c>
      <c r="B47" s="12">
        <v>142</v>
      </c>
      <c r="C47" t="s">
        <v>15</v>
      </c>
      <c r="D47">
        <v>2013</v>
      </c>
      <c r="E47" t="s">
        <v>90</v>
      </c>
      <c r="F47" t="s">
        <v>18</v>
      </c>
      <c r="G47" s="16">
        <v>46115</v>
      </c>
    </row>
    <row r="48" spans="1:7">
      <c r="A48" t="s">
        <v>91</v>
      </c>
      <c r="B48" s="12">
        <v>143</v>
      </c>
      <c r="C48" t="s">
        <v>30</v>
      </c>
      <c r="D48">
        <v>2019</v>
      </c>
      <c r="E48" t="s">
        <v>92</v>
      </c>
      <c r="F48" t="s">
        <v>18</v>
      </c>
      <c r="G48" s="16">
        <v>46157</v>
      </c>
    </row>
    <row r="49" spans="1:7">
      <c r="A49" t="s">
        <v>91</v>
      </c>
      <c r="B49" s="12">
        <v>144</v>
      </c>
      <c r="C49" t="s">
        <v>30</v>
      </c>
      <c r="D49">
        <v>2019</v>
      </c>
      <c r="E49" t="s">
        <v>92</v>
      </c>
      <c r="F49" t="s">
        <v>18</v>
      </c>
      <c r="G49" s="16">
        <v>46157</v>
      </c>
    </row>
    <row r="52" spans="1:7">
      <c r="G52" s="16"/>
    </row>
  </sheetData>
  <mergeCells count="1">
    <mergeCell ref="A1:G1"/>
  </mergeCells>
  <conditionalFormatting sqref="A52:G52 A3:G49">
    <cfRule type="expression" dxfId="40" priority="1">
      <formula>ISEVEN(ROW())</formula>
    </cfRule>
    <cfRule type="expression" dxfId="39" priority="2">
      <formula>ISODD(ROW())</formula>
    </cfRule>
  </conditionalFormatting>
  <dataValidations count="1">
    <dataValidation type="list" allowBlank="1" showInputMessage="1" showErrorMessage="1" sqref="F3:F35 F52 F39:F49" xr:uid="{6630553F-92E4-427F-9784-13858DB7D720}">
      <formula1>"Not Started,In Progress,Scrapped,Unknown"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8288C-1730-49D1-BD4C-FC704F167D22}">
  <dimension ref="A1:I33"/>
  <sheetViews>
    <sheetView workbookViewId="0">
      <selection activeCell="G5" sqref="A5:G5"/>
    </sheetView>
  </sheetViews>
  <sheetFormatPr defaultRowHeight="15"/>
  <cols>
    <col min="1" max="1" width="33.28515625" customWidth="1"/>
    <col min="2" max="2" width="6.140625" customWidth="1"/>
    <col min="3" max="3" width="14.28515625" bestFit="1" customWidth="1"/>
    <col min="4" max="4" width="14.42578125" bestFit="1" customWidth="1"/>
    <col min="5" max="5" width="35.5703125" customWidth="1"/>
    <col min="6" max="6" width="11.140625" bestFit="1" customWidth="1"/>
    <col min="7" max="7" width="16.42578125" bestFit="1" customWidth="1"/>
    <col min="8" max="8" width="15.140625" bestFit="1" customWidth="1"/>
    <col min="9" max="9" width="14.7109375" bestFit="1" customWidth="1"/>
  </cols>
  <sheetData>
    <row r="1" spans="1:9">
      <c r="A1" s="32" t="s">
        <v>93</v>
      </c>
      <c r="B1" s="33"/>
      <c r="C1" s="33"/>
      <c r="D1" s="33"/>
      <c r="E1" s="33"/>
      <c r="F1" s="33"/>
      <c r="G1" s="33"/>
      <c r="H1" s="33"/>
      <c r="I1" s="33"/>
    </row>
    <row r="2" spans="1: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>
      <c r="A3" t="s">
        <v>94</v>
      </c>
      <c r="B3">
        <v>74</v>
      </c>
      <c r="C3" t="s">
        <v>23</v>
      </c>
      <c r="D3">
        <v>2011</v>
      </c>
      <c r="E3" s="1" t="s">
        <v>95</v>
      </c>
      <c r="F3" t="s">
        <v>17</v>
      </c>
      <c r="G3" t="s">
        <v>57</v>
      </c>
      <c r="H3" t="s">
        <v>26</v>
      </c>
      <c r="I3" s="16">
        <v>46001</v>
      </c>
    </row>
    <row r="4" spans="1:9">
      <c r="A4" t="s">
        <v>94</v>
      </c>
      <c r="B4">
        <v>75</v>
      </c>
      <c r="C4" t="s">
        <v>23</v>
      </c>
      <c r="D4">
        <v>2011</v>
      </c>
      <c r="E4" s="1" t="s">
        <v>96</v>
      </c>
      <c r="F4" t="s">
        <v>17</v>
      </c>
      <c r="G4" t="s">
        <v>57</v>
      </c>
      <c r="H4" t="s">
        <v>26</v>
      </c>
      <c r="I4" s="16">
        <v>46001</v>
      </c>
    </row>
    <row r="6" spans="1:9">
      <c r="E6" s="1"/>
    </row>
    <row r="7" spans="1:9">
      <c r="E7" s="1"/>
    </row>
    <row r="8" spans="1:9">
      <c r="E8" s="1"/>
    </row>
    <row r="9" spans="1:9">
      <c r="E9" s="1"/>
    </row>
    <row r="10" spans="1:9">
      <c r="E10" s="1"/>
    </row>
    <row r="11" spans="1:9">
      <c r="E11" s="1"/>
    </row>
    <row r="12" spans="1:9">
      <c r="E12" s="1"/>
    </row>
    <row r="13" spans="1:9">
      <c r="E13" s="1"/>
    </row>
    <row r="14" spans="1:9">
      <c r="E14" s="1"/>
    </row>
    <row r="15" spans="1:9">
      <c r="E15" s="1"/>
    </row>
    <row r="16" spans="1:9">
      <c r="E16" s="1"/>
    </row>
    <row r="17" spans="5:5">
      <c r="E17" s="1"/>
    </row>
    <row r="18" spans="5:5">
      <c r="E18" s="1"/>
    </row>
    <row r="19" spans="5:5">
      <c r="E19" s="1"/>
    </row>
    <row r="20" spans="5:5">
      <c r="E20" s="1"/>
    </row>
    <row r="21" spans="5:5">
      <c r="E21" s="1"/>
    </row>
    <row r="22" spans="5:5">
      <c r="E22" s="1"/>
    </row>
    <row r="23" spans="5:5">
      <c r="E23" s="1"/>
    </row>
    <row r="24" spans="5:5">
      <c r="E24" s="1"/>
    </row>
    <row r="25" spans="5:5">
      <c r="E25" s="1"/>
    </row>
    <row r="26" spans="5:5">
      <c r="E26" s="1"/>
    </row>
    <row r="27" spans="5:5">
      <c r="E27" s="1"/>
    </row>
    <row r="28" spans="5:5">
      <c r="E28" s="1"/>
    </row>
    <row r="29" spans="5:5">
      <c r="E29" s="1"/>
    </row>
    <row r="30" spans="5:5">
      <c r="E30" s="1"/>
    </row>
    <row r="31" spans="5:5">
      <c r="E31" s="1"/>
    </row>
    <row r="32" spans="5:5">
      <c r="E32" s="1"/>
    </row>
    <row r="33" spans="5:5">
      <c r="E33" s="1"/>
    </row>
  </sheetData>
  <mergeCells count="1">
    <mergeCell ref="A1:I1"/>
  </mergeCells>
  <dataValidations count="4">
    <dataValidation type="list" allowBlank="1" showInputMessage="1" showErrorMessage="1" sqref="H3:H33" xr:uid="{E5C6D861-9704-4A24-A373-266C3767845A}">
      <formula1>"Not Started, In Progress, Scrapped, Unknown"</formula1>
    </dataValidation>
    <dataValidation type="list" allowBlank="1" showInputMessage="1" showErrorMessage="1" sqref="F3:F4 F6:F33" xr:uid="{DC839142-B4EB-40C5-A87E-16E886C982C3}">
      <formula1>"Included, Not Included"</formula1>
    </dataValidation>
    <dataValidation type="whole" allowBlank="1" showInputMessage="1" showErrorMessage="1" sqref="B3:B4 B6:B33" xr:uid="{5D9F521D-9556-4B0B-98FA-700A425B326D}">
      <formula1>0</formula1>
      <formula2>2000</formula2>
    </dataValidation>
    <dataValidation type="list" allowBlank="1" showInputMessage="1" showErrorMessage="1" sqref="G3:G4 G6:G33" xr:uid="{5C3E82F6-F480-4C1E-B342-7BEF40999310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86381-3E33-4CB8-A62B-E48A74AB9667}">
  <dimension ref="A1:M34"/>
  <sheetViews>
    <sheetView topLeftCell="A11" workbookViewId="0">
      <selection activeCell="E28" sqref="E28"/>
    </sheetView>
  </sheetViews>
  <sheetFormatPr defaultRowHeight="15" customHeight="1"/>
  <cols>
    <col min="1" max="1" width="40" customWidth="1"/>
    <col min="2" max="2" width="21" customWidth="1"/>
    <col min="3" max="3" width="15" bestFit="1" customWidth="1"/>
    <col min="4" max="4" width="10.28515625" bestFit="1" customWidth="1"/>
    <col min="5" max="6" width="13.28515625" customWidth="1"/>
    <col min="7" max="7" width="15" customWidth="1"/>
    <col min="8" max="8" width="17.140625" customWidth="1"/>
    <col min="9" max="9" width="11.140625" bestFit="1" customWidth="1"/>
    <col min="10" max="10" width="14.140625" customWidth="1"/>
    <col min="11" max="11" width="18.7109375" style="19" customWidth="1"/>
    <col min="12" max="12" width="21.28515625" customWidth="1"/>
    <col min="13" max="13" width="13" customWidth="1"/>
  </cols>
  <sheetData>
    <row r="1" spans="1:13">
      <c r="A1" s="34" t="s">
        <v>97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3">
      <c r="A2" t="s">
        <v>98</v>
      </c>
      <c r="B2" t="s">
        <v>3</v>
      </c>
      <c r="C2" t="s">
        <v>99</v>
      </c>
      <c r="D2" t="s">
        <v>100</v>
      </c>
      <c r="E2" t="s">
        <v>101</v>
      </c>
      <c r="F2" t="s">
        <v>102</v>
      </c>
      <c r="G2" t="s">
        <v>103</v>
      </c>
      <c r="H2" t="s">
        <v>104</v>
      </c>
      <c r="I2" t="s">
        <v>105</v>
      </c>
      <c r="J2" t="s">
        <v>106</v>
      </c>
      <c r="K2" s="19" t="s">
        <v>107</v>
      </c>
      <c r="L2" t="s">
        <v>108</v>
      </c>
      <c r="M2" t="s">
        <v>2</v>
      </c>
    </row>
    <row r="3" spans="1:13">
      <c r="A3" t="s">
        <v>109</v>
      </c>
      <c r="B3" t="s">
        <v>15</v>
      </c>
      <c r="C3" t="s">
        <v>110</v>
      </c>
      <c r="D3">
        <v>2013</v>
      </c>
      <c r="E3" t="s">
        <v>111</v>
      </c>
      <c r="F3" t="s">
        <v>112</v>
      </c>
      <c r="G3">
        <v>4</v>
      </c>
      <c r="H3" t="s">
        <v>113</v>
      </c>
      <c r="I3">
        <v>256</v>
      </c>
      <c r="J3" t="s">
        <v>114</v>
      </c>
      <c r="K3" s="19">
        <v>100</v>
      </c>
      <c r="L3" s="1"/>
      <c r="M3">
        <v>81</v>
      </c>
    </row>
    <row r="4" spans="1:13">
      <c r="A4" t="s">
        <v>115</v>
      </c>
      <c r="B4" t="s">
        <v>30</v>
      </c>
      <c r="C4" t="s">
        <v>116</v>
      </c>
      <c r="D4">
        <v>2017</v>
      </c>
      <c r="E4" t="s">
        <v>117</v>
      </c>
      <c r="F4" t="s">
        <v>112</v>
      </c>
      <c r="G4">
        <v>8</v>
      </c>
      <c r="H4" t="s">
        <v>113</v>
      </c>
      <c r="I4">
        <v>256</v>
      </c>
      <c r="J4" t="s">
        <v>114</v>
      </c>
      <c r="K4" s="19">
        <v>200</v>
      </c>
      <c r="L4" s="1"/>
      <c r="M4">
        <v>59</v>
      </c>
    </row>
    <row r="5" spans="1:13">
      <c r="A5" t="s">
        <v>118</v>
      </c>
      <c r="B5" t="s">
        <v>77</v>
      </c>
      <c r="C5" t="s">
        <v>110</v>
      </c>
      <c r="D5">
        <v>2018</v>
      </c>
      <c r="E5" t="s">
        <v>119</v>
      </c>
      <c r="F5" t="s">
        <v>112</v>
      </c>
      <c r="G5">
        <v>8</v>
      </c>
      <c r="H5" t="s">
        <v>120</v>
      </c>
      <c r="I5">
        <v>256</v>
      </c>
      <c r="J5" t="s">
        <v>114</v>
      </c>
      <c r="K5" s="19">
        <v>175</v>
      </c>
      <c r="L5" s="1"/>
      <c r="M5">
        <v>84</v>
      </c>
    </row>
    <row r="6" spans="1:13">
      <c r="A6" t="s">
        <v>118</v>
      </c>
      <c r="B6" t="s">
        <v>77</v>
      </c>
      <c r="C6" t="s">
        <v>110</v>
      </c>
      <c r="D6">
        <v>2018</v>
      </c>
      <c r="E6" t="s">
        <v>121</v>
      </c>
      <c r="F6" t="s">
        <v>112</v>
      </c>
      <c r="G6">
        <v>8</v>
      </c>
      <c r="H6" t="s">
        <v>120</v>
      </c>
      <c r="I6">
        <v>256</v>
      </c>
      <c r="J6" t="s">
        <v>114</v>
      </c>
      <c r="K6" s="19">
        <v>175</v>
      </c>
      <c r="L6" s="1"/>
      <c r="M6">
        <v>85</v>
      </c>
    </row>
    <row r="7" spans="1:13">
      <c r="A7" t="s">
        <v>79</v>
      </c>
      <c r="B7" t="s">
        <v>77</v>
      </c>
      <c r="C7" t="s">
        <v>110</v>
      </c>
      <c r="D7">
        <v>2018</v>
      </c>
      <c r="E7" t="s">
        <v>122</v>
      </c>
      <c r="F7" t="s">
        <v>112</v>
      </c>
      <c r="G7">
        <v>8</v>
      </c>
      <c r="H7" t="s">
        <v>120</v>
      </c>
      <c r="I7">
        <v>256</v>
      </c>
      <c r="J7" t="s">
        <v>114</v>
      </c>
      <c r="K7" s="19">
        <v>175</v>
      </c>
      <c r="L7" s="1"/>
      <c r="M7">
        <v>103</v>
      </c>
    </row>
    <row r="8" spans="1:13">
      <c r="A8" t="s">
        <v>123</v>
      </c>
      <c r="B8" t="s">
        <v>15</v>
      </c>
      <c r="C8" t="s">
        <v>110</v>
      </c>
      <c r="D8">
        <v>2018</v>
      </c>
      <c r="E8" t="s">
        <v>124</v>
      </c>
      <c r="F8" t="s">
        <v>112</v>
      </c>
      <c r="G8">
        <v>8</v>
      </c>
      <c r="H8" t="s">
        <v>120</v>
      </c>
      <c r="I8">
        <v>256</v>
      </c>
      <c r="J8" t="s">
        <v>114</v>
      </c>
      <c r="K8" s="19">
        <v>150</v>
      </c>
      <c r="L8" s="1"/>
      <c r="M8">
        <v>83</v>
      </c>
    </row>
    <row r="9" spans="1:13">
      <c r="A9" t="s">
        <v>125</v>
      </c>
      <c r="B9" t="s">
        <v>30</v>
      </c>
      <c r="C9" t="s">
        <v>116</v>
      </c>
      <c r="D9">
        <v>2020</v>
      </c>
      <c r="E9" t="s">
        <v>126</v>
      </c>
      <c r="F9" t="s">
        <v>127</v>
      </c>
      <c r="G9">
        <v>8</v>
      </c>
      <c r="H9" t="s">
        <v>120</v>
      </c>
      <c r="I9">
        <v>256</v>
      </c>
      <c r="J9" t="s">
        <v>114</v>
      </c>
      <c r="K9" s="19">
        <v>300</v>
      </c>
      <c r="L9" s="1"/>
      <c r="M9">
        <v>68</v>
      </c>
    </row>
    <row r="10" spans="1:13">
      <c r="A10" t="s">
        <v>128</v>
      </c>
      <c r="B10" t="s">
        <v>30</v>
      </c>
      <c r="C10" t="s">
        <v>110</v>
      </c>
      <c r="D10">
        <v>2014</v>
      </c>
      <c r="E10" t="s">
        <v>129</v>
      </c>
      <c r="F10" t="s">
        <v>112</v>
      </c>
      <c r="G10">
        <v>8</v>
      </c>
      <c r="H10" t="s">
        <v>113</v>
      </c>
      <c r="I10">
        <v>256</v>
      </c>
      <c r="J10" t="s">
        <v>114</v>
      </c>
      <c r="K10" s="2">
        <v>175</v>
      </c>
      <c r="M10">
        <v>110</v>
      </c>
    </row>
    <row r="11" spans="1:13" ht="15" customHeight="1">
      <c r="A11" t="s">
        <v>118</v>
      </c>
      <c r="B11" t="s">
        <v>77</v>
      </c>
      <c r="C11" t="s">
        <v>110</v>
      </c>
      <c r="D11">
        <v>2018</v>
      </c>
      <c r="E11" t="s">
        <v>122</v>
      </c>
      <c r="F11" t="s">
        <v>112</v>
      </c>
      <c r="G11">
        <v>8</v>
      </c>
      <c r="H11" t="s">
        <v>120</v>
      </c>
      <c r="I11">
        <v>256</v>
      </c>
      <c r="J11" t="s">
        <v>114</v>
      </c>
      <c r="K11" s="19">
        <v>175</v>
      </c>
      <c r="L11" s="1"/>
      <c r="M11">
        <v>88</v>
      </c>
    </row>
    <row r="12" spans="1:13" ht="15" customHeight="1">
      <c r="A12" t="s">
        <v>130</v>
      </c>
      <c r="B12" t="s">
        <v>30</v>
      </c>
      <c r="C12" t="s">
        <v>116</v>
      </c>
      <c r="D12">
        <v>2013</v>
      </c>
      <c r="E12" t="s">
        <v>131</v>
      </c>
      <c r="F12" t="s">
        <v>112</v>
      </c>
      <c r="G12">
        <v>8</v>
      </c>
      <c r="H12" t="s">
        <v>113</v>
      </c>
      <c r="I12">
        <v>256</v>
      </c>
      <c r="J12" t="s">
        <v>114</v>
      </c>
      <c r="K12" s="19">
        <v>150</v>
      </c>
      <c r="L12" s="1"/>
      <c r="M12">
        <v>57</v>
      </c>
    </row>
    <row r="13" spans="1:13" ht="15" customHeight="1">
      <c r="A13" t="s">
        <v>132</v>
      </c>
      <c r="B13" t="s">
        <v>23</v>
      </c>
      <c r="C13" t="s">
        <v>116</v>
      </c>
      <c r="D13">
        <v>2014</v>
      </c>
      <c r="E13" t="s">
        <v>133</v>
      </c>
      <c r="F13" t="s">
        <v>134</v>
      </c>
      <c r="G13">
        <v>8</v>
      </c>
      <c r="H13" t="s">
        <v>113</v>
      </c>
      <c r="I13">
        <v>256</v>
      </c>
      <c r="J13" t="s">
        <v>114</v>
      </c>
      <c r="K13" s="19">
        <v>100</v>
      </c>
      <c r="L13" s="1"/>
      <c r="M13">
        <v>108</v>
      </c>
    </row>
    <row r="14" spans="1:13" ht="15" customHeight="1">
      <c r="A14" t="s">
        <v>135</v>
      </c>
      <c r="B14" t="s">
        <v>39</v>
      </c>
      <c r="C14" t="s">
        <v>116</v>
      </c>
      <c r="D14">
        <v>2021</v>
      </c>
      <c r="E14" t="s">
        <v>136</v>
      </c>
      <c r="F14" t="s">
        <v>127</v>
      </c>
      <c r="G14">
        <v>8</v>
      </c>
      <c r="H14" t="s">
        <v>120</v>
      </c>
      <c r="I14">
        <v>256</v>
      </c>
      <c r="J14" t="s">
        <v>114</v>
      </c>
      <c r="K14" s="19">
        <v>350</v>
      </c>
      <c r="L14" s="1"/>
      <c r="M14">
        <v>113</v>
      </c>
    </row>
    <row r="15" spans="1:13" ht="15" customHeight="1">
      <c r="A15" t="s">
        <v>135</v>
      </c>
      <c r="B15" t="s">
        <v>39</v>
      </c>
      <c r="C15" t="s">
        <v>116</v>
      </c>
      <c r="D15">
        <v>2021</v>
      </c>
      <c r="E15" t="s">
        <v>136</v>
      </c>
      <c r="F15" t="s">
        <v>127</v>
      </c>
      <c r="G15">
        <v>8</v>
      </c>
      <c r="H15" t="s">
        <v>120</v>
      </c>
      <c r="I15">
        <v>256</v>
      </c>
      <c r="J15" t="s">
        <v>114</v>
      </c>
      <c r="K15" s="19">
        <v>350</v>
      </c>
      <c r="L15" s="1"/>
      <c r="M15">
        <v>117</v>
      </c>
    </row>
    <row r="16" spans="1:13" ht="15" customHeight="1">
      <c r="A16" t="s">
        <v>63</v>
      </c>
      <c r="B16" t="s">
        <v>30</v>
      </c>
      <c r="C16" s="4" t="s">
        <v>110</v>
      </c>
      <c r="D16">
        <v>2016</v>
      </c>
      <c r="E16" t="s">
        <v>137</v>
      </c>
      <c r="F16" t="s">
        <v>112</v>
      </c>
      <c r="G16">
        <v>16</v>
      </c>
      <c r="H16" t="s">
        <v>120</v>
      </c>
      <c r="I16">
        <v>256</v>
      </c>
      <c r="J16" t="s">
        <v>114</v>
      </c>
      <c r="K16" s="19">
        <v>255</v>
      </c>
      <c r="L16" s="1"/>
      <c r="M16">
        <v>11</v>
      </c>
    </row>
    <row r="17" spans="1:13" ht="15" customHeight="1">
      <c r="A17" t="s">
        <v>118</v>
      </c>
      <c r="B17" t="s">
        <v>77</v>
      </c>
      <c r="C17" t="s">
        <v>110</v>
      </c>
      <c r="D17">
        <v>2018</v>
      </c>
      <c r="E17" t="s">
        <v>122</v>
      </c>
      <c r="F17" t="s">
        <v>112</v>
      </c>
      <c r="G17">
        <v>8</v>
      </c>
      <c r="H17" t="s">
        <v>120</v>
      </c>
      <c r="I17">
        <v>256</v>
      </c>
      <c r="J17" t="s">
        <v>114</v>
      </c>
      <c r="K17" s="19">
        <v>175</v>
      </c>
      <c r="L17" s="1"/>
      <c r="M17">
        <v>86</v>
      </c>
    </row>
    <row r="18" spans="1:13" ht="15" customHeight="1">
      <c r="A18" t="s">
        <v>138</v>
      </c>
      <c r="B18" t="s">
        <v>39</v>
      </c>
      <c r="C18" t="s">
        <v>116</v>
      </c>
      <c r="D18">
        <v>2017</v>
      </c>
      <c r="E18" t="s">
        <v>139</v>
      </c>
      <c r="F18" t="s">
        <v>112</v>
      </c>
      <c r="G18">
        <v>8</v>
      </c>
      <c r="H18" t="s">
        <v>120</v>
      </c>
      <c r="I18">
        <v>256</v>
      </c>
      <c r="J18" t="s">
        <v>114</v>
      </c>
      <c r="K18" s="19">
        <v>150</v>
      </c>
      <c r="L18" s="1"/>
      <c r="M18">
        <v>119</v>
      </c>
    </row>
    <row r="19" spans="1:13" ht="15" customHeight="1">
      <c r="A19" t="s">
        <v>47</v>
      </c>
      <c r="B19" t="s">
        <v>48</v>
      </c>
      <c r="C19" t="s">
        <v>116</v>
      </c>
      <c r="D19">
        <v>2017</v>
      </c>
      <c r="E19" t="s">
        <v>139</v>
      </c>
      <c r="F19" t="s">
        <v>127</v>
      </c>
      <c r="G19">
        <v>8</v>
      </c>
      <c r="H19" t="s">
        <v>120</v>
      </c>
      <c r="I19">
        <v>256</v>
      </c>
      <c r="J19" t="s">
        <v>114</v>
      </c>
      <c r="K19" s="19">
        <v>200</v>
      </c>
      <c r="L19" s="1"/>
      <c r="M19">
        <v>125</v>
      </c>
    </row>
    <row r="20" spans="1:13" ht="15" customHeight="1">
      <c r="A20" s="4" t="s">
        <v>65</v>
      </c>
      <c r="B20" s="26" t="s">
        <v>30</v>
      </c>
      <c r="C20" t="s">
        <v>110</v>
      </c>
      <c r="D20">
        <v>2013</v>
      </c>
      <c r="E20" t="s">
        <v>140</v>
      </c>
      <c r="F20" t="s">
        <v>112</v>
      </c>
      <c r="G20">
        <v>8</v>
      </c>
      <c r="H20" t="s">
        <v>113</v>
      </c>
      <c r="I20">
        <v>256</v>
      </c>
      <c r="J20" t="s">
        <v>114</v>
      </c>
      <c r="K20" s="19">
        <v>200</v>
      </c>
      <c r="L20" s="1"/>
      <c r="M20">
        <v>34</v>
      </c>
    </row>
    <row r="21" spans="1:13" ht="15" customHeight="1">
      <c r="A21" t="s">
        <v>141</v>
      </c>
      <c r="B21" t="s">
        <v>30</v>
      </c>
      <c r="C21" t="s">
        <v>116</v>
      </c>
      <c r="D21">
        <v>2018</v>
      </c>
      <c r="E21" t="s">
        <v>142</v>
      </c>
      <c r="F21" t="s">
        <v>127</v>
      </c>
      <c r="G21">
        <v>16</v>
      </c>
      <c r="H21" t="s">
        <v>120</v>
      </c>
      <c r="I21">
        <v>256</v>
      </c>
      <c r="J21" t="s">
        <v>114</v>
      </c>
      <c r="K21" s="19">
        <v>325</v>
      </c>
      <c r="L21" s="1"/>
      <c r="M21">
        <v>126</v>
      </c>
    </row>
    <row r="22" spans="1:13" ht="15" customHeight="1">
      <c r="A22" s="25" t="s">
        <v>89</v>
      </c>
      <c r="B22" t="s">
        <v>15</v>
      </c>
      <c r="C22" t="s">
        <v>116</v>
      </c>
      <c r="D22">
        <v>2016</v>
      </c>
      <c r="E22" t="s">
        <v>143</v>
      </c>
      <c r="F22" t="s">
        <v>112</v>
      </c>
      <c r="G22">
        <v>8</v>
      </c>
      <c r="H22" t="s">
        <v>120</v>
      </c>
      <c r="I22">
        <v>256</v>
      </c>
      <c r="J22" t="s">
        <v>114</v>
      </c>
      <c r="K22" s="19">
        <v>200</v>
      </c>
      <c r="L22" s="1" t="s">
        <v>144</v>
      </c>
      <c r="M22">
        <v>127</v>
      </c>
    </row>
    <row r="23" spans="1:13" ht="15" customHeight="1">
      <c r="A23" t="s">
        <v>145</v>
      </c>
      <c r="B23" t="s">
        <v>15</v>
      </c>
      <c r="C23" t="s">
        <v>116</v>
      </c>
      <c r="D23">
        <v>2015</v>
      </c>
      <c r="E23" t="s">
        <v>146</v>
      </c>
      <c r="F23" t="s">
        <v>112</v>
      </c>
      <c r="G23">
        <v>8</v>
      </c>
      <c r="H23" t="s">
        <v>147</v>
      </c>
      <c r="I23">
        <v>256</v>
      </c>
      <c r="J23" t="s">
        <v>114</v>
      </c>
      <c r="K23" s="19">
        <v>175</v>
      </c>
      <c r="L23" t="s">
        <v>28</v>
      </c>
      <c r="M23">
        <v>122</v>
      </c>
    </row>
    <row r="24" spans="1:13" ht="15" customHeight="1">
      <c r="A24" t="s">
        <v>148</v>
      </c>
      <c r="B24" t="s">
        <v>30</v>
      </c>
      <c r="C24" t="s">
        <v>110</v>
      </c>
      <c r="D24">
        <v>2017</v>
      </c>
      <c r="E24" t="s">
        <v>149</v>
      </c>
      <c r="F24" t="s">
        <v>127</v>
      </c>
      <c r="G24">
        <v>16</v>
      </c>
      <c r="H24" t="s">
        <v>120</v>
      </c>
      <c r="I24">
        <v>256</v>
      </c>
      <c r="J24" t="s">
        <v>114</v>
      </c>
      <c r="K24" s="19">
        <v>200</v>
      </c>
      <c r="L24" s="1"/>
      <c r="M24">
        <v>47</v>
      </c>
    </row>
    <row r="25" spans="1:13" ht="15" customHeight="1">
      <c r="A25" t="s">
        <v>150</v>
      </c>
      <c r="B25" t="s">
        <v>15</v>
      </c>
      <c r="C25" t="s">
        <v>110</v>
      </c>
      <c r="D25">
        <v>2019</v>
      </c>
      <c r="E25" t="s">
        <v>151</v>
      </c>
      <c r="F25" t="s">
        <v>127</v>
      </c>
      <c r="G25">
        <v>16</v>
      </c>
      <c r="H25" t="s">
        <v>120</v>
      </c>
      <c r="I25">
        <v>256</v>
      </c>
      <c r="J25" t="s">
        <v>114</v>
      </c>
      <c r="K25" s="19">
        <v>350</v>
      </c>
      <c r="L25" s="1"/>
      <c r="M25">
        <v>131</v>
      </c>
    </row>
    <row r="26" spans="1:13" ht="15" customHeight="1">
      <c r="A26" t="s">
        <v>152</v>
      </c>
      <c r="B26" t="s">
        <v>15</v>
      </c>
      <c r="C26" t="s">
        <v>110</v>
      </c>
      <c r="D26">
        <v>2017</v>
      </c>
      <c r="E26" t="s">
        <v>153</v>
      </c>
      <c r="F26" t="s">
        <v>127</v>
      </c>
      <c r="G26">
        <v>8</v>
      </c>
      <c r="H26" t="s">
        <v>120</v>
      </c>
      <c r="I26">
        <v>256</v>
      </c>
      <c r="J26" t="s">
        <v>114</v>
      </c>
      <c r="K26" s="19">
        <v>300</v>
      </c>
      <c r="L26" s="1"/>
      <c r="M26">
        <v>129</v>
      </c>
    </row>
    <row r="27" spans="1:13" ht="15" customHeight="1">
      <c r="A27" t="s">
        <v>154</v>
      </c>
      <c r="B27" t="s">
        <v>39</v>
      </c>
      <c r="C27" t="s">
        <v>110</v>
      </c>
      <c r="D27">
        <v>2018</v>
      </c>
      <c r="E27" t="s">
        <v>155</v>
      </c>
      <c r="F27" t="s">
        <v>127</v>
      </c>
      <c r="G27">
        <v>8</v>
      </c>
      <c r="H27" t="s">
        <v>120</v>
      </c>
      <c r="I27">
        <v>256</v>
      </c>
      <c r="J27" t="s">
        <v>114</v>
      </c>
      <c r="K27" s="19">
        <v>280</v>
      </c>
      <c r="L27" s="1"/>
      <c r="M27">
        <v>111</v>
      </c>
    </row>
    <row r="28" spans="1:13" ht="15" customHeight="1">
      <c r="A28" t="s">
        <v>156</v>
      </c>
      <c r="B28" t="s">
        <v>30</v>
      </c>
      <c r="C28" t="s">
        <v>110</v>
      </c>
      <c r="D28">
        <v>2019</v>
      </c>
      <c r="F28" t="s">
        <v>127</v>
      </c>
      <c r="G28">
        <v>16</v>
      </c>
      <c r="H28" t="s">
        <v>120</v>
      </c>
      <c r="I28">
        <v>256</v>
      </c>
      <c r="J28" t="s">
        <v>114</v>
      </c>
      <c r="K28" s="19">
        <v>200</v>
      </c>
      <c r="L28" s="1"/>
      <c r="M28">
        <v>133</v>
      </c>
    </row>
    <row r="29" spans="1:13" ht="15" customHeight="1">
      <c r="A29" t="s">
        <v>157</v>
      </c>
      <c r="B29" t="s">
        <v>39</v>
      </c>
      <c r="C29" t="s">
        <v>116</v>
      </c>
      <c r="D29">
        <v>2021</v>
      </c>
      <c r="E29" t="s">
        <v>158</v>
      </c>
      <c r="F29" t="s">
        <v>127</v>
      </c>
      <c r="G29">
        <v>16</v>
      </c>
      <c r="H29" t="s">
        <v>120</v>
      </c>
      <c r="I29">
        <v>256</v>
      </c>
      <c r="J29" t="s">
        <v>114</v>
      </c>
      <c r="K29" s="19">
        <v>250</v>
      </c>
      <c r="L29" s="1"/>
      <c r="M29">
        <v>155</v>
      </c>
    </row>
    <row r="30" spans="1:13" ht="15" customHeight="1">
      <c r="A30" t="s">
        <v>159</v>
      </c>
      <c r="B30" t="s">
        <v>160</v>
      </c>
      <c r="C30" t="s">
        <v>161</v>
      </c>
      <c r="D30">
        <v>2022</v>
      </c>
      <c r="E30" s="1" t="s">
        <v>162</v>
      </c>
      <c r="F30" t="s">
        <v>163</v>
      </c>
      <c r="G30">
        <v>8</v>
      </c>
      <c r="H30" t="s">
        <v>164</v>
      </c>
      <c r="I30">
        <v>128</v>
      </c>
      <c r="J30" t="s">
        <v>165</v>
      </c>
      <c r="K30" s="19">
        <v>250</v>
      </c>
      <c r="L30" s="1"/>
      <c r="M30">
        <v>181</v>
      </c>
    </row>
    <row r="31" spans="1:13" ht="15" customHeight="1">
      <c r="A31" t="s">
        <v>166</v>
      </c>
      <c r="B31" t="s">
        <v>30</v>
      </c>
      <c r="C31" t="s">
        <v>110</v>
      </c>
      <c r="D31">
        <v>2012</v>
      </c>
      <c r="E31" t="s">
        <v>167</v>
      </c>
      <c r="F31" t="s">
        <v>112</v>
      </c>
      <c r="G31">
        <v>16</v>
      </c>
      <c r="H31" t="s">
        <v>120</v>
      </c>
      <c r="I31">
        <v>256</v>
      </c>
      <c r="J31" t="s">
        <v>114</v>
      </c>
      <c r="K31" s="19">
        <v>200</v>
      </c>
      <c r="L31" s="1"/>
      <c r="M31">
        <v>41</v>
      </c>
    </row>
    <row r="32" spans="1:13" ht="15" customHeight="1">
      <c r="A32" t="s">
        <v>168</v>
      </c>
      <c r="B32" t="s">
        <v>20</v>
      </c>
      <c r="C32" t="s">
        <v>116</v>
      </c>
      <c r="D32">
        <v>2014</v>
      </c>
      <c r="E32" s="1" t="s">
        <v>169</v>
      </c>
      <c r="F32" t="s">
        <v>127</v>
      </c>
      <c r="G32">
        <v>12</v>
      </c>
      <c r="H32" t="s">
        <v>113</v>
      </c>
      <c r="I32">
        <v>512</v>
      </c>
      <c r="J32" t="s">
        <v>114</v>
      </c>
      <c r="K32" s="19">
        <v>200</v>
      </c>
      <c r="L32" s="1"/>
      <c r="M32">
        <v>69</v>
      </c>
    </row>
    <row r="33" spans="12:12" ht="15" customHeight="1">
      <c r="L33" s="1"/>
    </row>
    <row r="34" spans="12:12" ht="15" customHeight="1">
      <c r="L34" s="1"/>
    </row>
  </sheetData>
  <mergeCells count="1">
    <mergeCell ref="A1:M1"/>
  </mergeCells>
  <phoneticPr fontId="2" type="noConversion"/>
  <conditionalFormatting sqref="A24:A28">
    <cfRule type="expression" dxfId="36" priority="1">
      <formula>ISEVEN(ROW())</formula>
    </cfRule>
    <cfRule type="expression" dxfId="35" priority="2">
      <formula>ISODD(ROW())</formula>
    </cfRule>
  </conditionalFormatting>
  <conditionalFormatting sqref="A19:B20 A22:B22">
    <cfRule type="expression" dxfId="34" priority="33">
      <formula>ISEVEN(ROW())</formula>
    </cfRule>
    <cfRule type="expression" dxfId="33" priority="34">
      <formula>ISODD(ROW())</formula>
    </cfRule>
  </conditionalFormatting>
  <conditionalFormatting sqref="A3:L11 A12:D12 F12:L12 A13:L17">
    <cfRule type="expression" dxfId="32" priority="37">
      <formula>ISEVEN(ROW())</formula>
    </cfRule>
  </conditionalFormatting>
  <conditionalFormatting sqref="A3:M11 A12:D12 F12:M12 A13:M17">
    <cfRule type="expression" dxfId="31" priority="38">
      <formula>ISODD(ROW())</formula>
    </cfRule>
  </conditionalFormatting>
  <conditionalFormatting sqref="D27">
    <cfRule type="expression" dxfId="30" priority="3">
      <formula>ISEVEN(ROW())</formula>
    </cfRule>
    <cfRule type="expression" dxfId="29" priority="4">
      <formula>ISODD(ROW())</formula>
    </cfRule>
  </conditionalFormatting>
  <conditionalFormatting sqref="H18:H21">
    <cfRule type="expression" dxfId="28" priority="25">
      <formula>ISEVEN(ROW())</formula>
    </cfRule>
    <cfRule type="expression" dxfId="27" priority="26">
      <formula>ISODD(ROW())</formula>
    </cfRule>
  </conditionalFormatting>
  <conditionalFormatting sqref="I18:I21">
    <cfRule type="expression" dxfId="26" priority="17">
      <formula>ISEVEN(ROW())</formula>
    </cfRule>
    <cfRule type="expression" dxfId="25" priority="18">
      <formula>ISODD(ROW())</formula>
    </cfRule>
  </conditionalFormatting>
  <dataValidations count="4">
    <dataValidation type="whole" allowBlank="1" showInputMessage="1" showErrorMessage="1" sqref="M3:M4 M10:M17" xr:uid="{BD4480FF-AB8D-4446-AB7A-01C4C2A99ADB}">
      <formula1>1</formula1>
      <formula2>2000</formula2>
    </dataValidation>
    <dataValidation type="list" allowBlank="1" showInputMessage="1" showErrorMessage="1" sqref="C3:C4 C17 C11:C15" xr:uid="{23899482-37F4-4DDA-A40C-55EF7962BD79}">
      <formula1>"Desktop,Laptop,Tablet,All-In-One"</formula1>
    </dataValidation>
    <dataValidation type="list" allowBlank="1" showInputMessage="1" showErrorMessage="1" sqref="L23" xr:uid="{B98105AE-173E-4A15-99FD-BB956E15C3C9}">
      <formula1>"Included, Not Included"</formula1>
    </dataValidation>
    <dataValidation type="whole" allowBlank="1" showInputMessage="1" showErrorMessage="1" sqref="M30 M32" xr:uid="{5D9F521D-9556-4B0B-98FA-700A425B326D}">
      <formula1>0</formula1>
      <formula2>2000</formula2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C144A-BB57-4446-B714-000D1D9FAB4A}">
  <dimension ref="A1:Q104"/>
  <sheetViews>
    <sheetView topLeftCell="A88" workbookViewId="0">
      <selection activeCell="M94" sqref="M94"/>
    </sheetView>
  </sheetViews>
  <sheetFormatPr defaultRowHeight="15" customHeight="1"/>
  <cols>
    <col min="1" max="1" width="28.7109375" bestFit="1" customWidth="1"/>
    <col min="2" max="2" width="28.7109375" customWidth="1"/>
    <col min="3" max="3" width="15" bestFit="1" customWidth="1"/>
    <col min="4" max="4" width="10.28515625" bestFit="1" customWidth="1"/>
    <col min="5" max="5" width="17.42578125" bestFit="1" customWidth="1"/>
    <col min="6" max="6" width="10.7109375" bestFit="1" customWidth="1"/>
    <col min="7" max="7" width="19.140625" bestFit="1" customWidth="1"/>
    <col min="8" max="8" width="19.140625" customWidth="1"/>
    <col min="9" max="9" width="9.5703125" bestFit="1" customWidth="1"/>
    <col min="10" max="10" width="11.7109375" bestFit="1" customWidth="1"/>
    <col min="11" max="11" width="11.28515625" style="19" bestFit="1" customWidth="1"/>
    <col min="12" max="12" width="25.28515625" customWidth="1"/>
    <col min="13" max="13" width="16.85546875" style="16" customWidth="1"/>
    <col min="14" max="14" width="33.28515625" style="16" bestFit="1" customWidth="1"/>
    <col min="15" max="15" width="7" bestFit="1" customWidth="1"/>
    <col min="16" max="16" width="27.7109375" customWidth="1"/>
    <col min="17" max="17" width="28.28515625" customWidth="1"/>
  </cols>
  <sheetData>
    <row r="1" spans="1:17" ht="15" customHeight="1">
      <c r="C1" s="17" t="s">
        <v>170</v>
      </c>
      <c r="D1" s="18"/>
      <c r="E1" s="18"/>
      <c r="F1" s="18"/>
      <c r="G1" s="18"/>
      <c r="H1" s="18"/>
      <c r="I1" s="18"/>
      <c r="J1" s="18"/>
      <c r="K1" s="20"/>
      <c r="L1" s="18"/>
      <c r="M1" s="22"/>
      <c r="N1" s="22"/>
      <c r="O1" s="18"/>
      <c r="P1" t="s">
        <v>171</v>
      </c>
      <c r="Q1" t="s">
        <v>172</v>
      </c>
    </row>
    <row r="2" spans="1:17">
      <c r="A2" t="s">
        <v>98</v>
      </c>
      <c r="B2" t="s">
        <v>3</v>
      </c>
      <c r="C2" t="s">
        <v>99</v>
      </c>
      <c r="D2" t="s">
        <v>100</v>
      </c>
      <c r="E2" t="s">
        <v>101</v>
      </c>
      <c r="F2" t="s">
        <v>102</v>
      </c>
      <c r="G2" t="s">
        <v>103</v>
      </c>
      <c r="H2" t="s">
        <v>104</v>
      </c>
      <c r="I2" t="s">
        <v>105</v>
      </c>
      <c r="J2" t="s">
        <v>106</v>
      </c>
      <c r="K2" s="19" t="s">
        <v>107</v>
      </c>
      <c r="L2" t="s">
        <v>108</v>
      </c>
      <c r="M2" s="16" t="s">
        <v>173</v>
      </c>
      <c r="N2" s="16" t="s">
        <v>174</v>
      </c>
      <c r="O2" t="s">
        <v>175</v>
      </c>
      <c r="P2" s="2">
        <f>SUM(K3:K38)</f>
        <v>9870</v>
      </c>
      <c r="Q2">
        <f>COUNTIF(O3:O42,"*International*")</f>
        <v>0</v>
      </c>
    </row>
    <row r="3" spans="1:17">
      <c r="A3" t="s">
        <v>176</v>
      </c>
      <c r="B3" t="s">
        <v>177</v>
      </c>
      <c r="C3" t="s">
        <v>116</v>
      </c>
      <c r="D3">
        <v>2019</v>
      </c>
      <c r="I3">
        <v>256</v>
      </c>
      <c r="J3" t="s">
        <v>114</v>
      </c>
      <c r="K3" s="19">
        <v>225</v>
      </c>
      <c r="L3" s="2"/>
      <c r="M3" s="15">
        <v>45970</v>
      </c>
      <c r="N3" s="15" t="s">
        <v>178</v>
      </c>
      <c r="O3" t="s">
        <v>179</v>
      </c>
    </row>
    <row r="4" spans="1:17">
      <c r="A4" t="s">
        <v>176</v>
      </c>
      <c r="B4" t="s">
        <v>177</v>
      </c>
      <c r="C4" t="s">
        <v>116</v>
      </c>
      <c r="D4">
        <v>2019</v>
      </c>
      <c r="I4">
        <v>256</v>
      </c>
      <c r="J4" t="s">
        <v>114</v>
      </c>
      <c r="K4" s="19">
        <v>225</v>
      </c>
      <c r="L4" s="2"/>
      <c r="M4" s="15">
        <v>45970</v>
      </c>
      <c r="N4" s="15" t="s">
        <v>178</v>
      </c>
      <c r="O4" t="s">
        <v>179</v>
      </c>
    </row>
    <row r="5" spans="1:17">
      <c r="A5" t="s">
        <v>176</v>
      </c>
      <c r="B5" t="s">
        <v>177</v>
      </c>
      <c r="C5" t="s">
        <v>116</v>
      </c>
      <c r="D5">
        <v>2019</v>
      </c>
      <c r="I5">
        <v>256</v>
      </c>
      <c r="J5" t="s">
        <v>114</v>
      </c>
      <c r="K5" s="19">
        <v>225</v>
      </c>
      <c r="L5" s="2"/>
      <c r="M5" s="15">
        <v>45970</v>
      </c>
      <c r="N5" s="15" t="s">
        <v>178</v>
      </c>
      <c r="O5" t="s">
        <v>179</v>
      </c>
    </row>
    <row r="6" spans="1:17">
      <c r="A6" t="s">
        <v>176</v>
      </c>
      <c r="B6" t="s">
        <v>177</v>
      </c>
      <c r="C6" t="s">
        <v>116</v>
      </c>
      <c r="D6">
        <v>2019</v>
      </c>
      <c r="I6">
        <v>256</v>
      </c>
      <c r="J6" t="s">
        <v>114</v>
      </c>
      <c r="K6" s="19">
        <v>225</v>
      </c>
      <c r="L6" s="2"/>
      <c r="M6" s="15">
        <v>45970</v>
      </c>
      <c r="N6" s="15" t="s">
        <v>178</v>
      </c>
      <c r="O6" t="s">
        <v>179</v>
      </c>
    </row>
    <row r="7" spans="1:17">
      <c r="A7" t="s">
        <v>176</v>
      </c>
      <c r="B7" t="s">
        <v>177</v>
      </c>
      <c r="C7" t="s">
        <v>116</v>
      </c>
      <c r="D7">
        <v>2019</v>
      </c>
      <c r="I7">
        <v>256</v>
      </c>
      <c r="J7" t="s">
        <v>114</v>
      </c>
      <c r="K7" s="19">
        <v>225</v>
      </c>
      <c r="L7" s="2"/>
      <c r="M7" s="15">
        <v>45970</v>
      </c>
      <c r="N7" s="15" t="s">
        <v>178</v>
      </c>
      <c r="O7" t="s">
        <v>179</v>
      </c>
    </row>
    <row r="8" spans="1:17">
      <c r="A8" t="s">
        <v>176</v>
      </c>
      <c r="B8" t="s">
        <v>177</v>
      </c>
      <c r="C8" t="s">
        <v>116</v>
      </c>
      <c r="D8">
        <v>2019</v>
      </c>
      <c r="I8">
        <v>256</v>
      </c>
      <c r="J8" t="s">
        <v>114</v>
      </c>
      <c r="K8" s="19">
        <v>225</v>
      </c>
      <c r="L8" s="2"/>
      <c r="M8" s="15">
        <v>45970</v>
      </c>
      <c r="N8" s="15" t="s">
        <v>178</v>
      </c>
      <c r="O8" t="s">
        <v>179</v>
      </c>
    </row>
    <row r="9" spans="1:17">
      <c r="A9" t="s">
        <v>176</v>
      </c>
      <c r="B9" t="s">
        <v>177</v>
      </c>
      <c r="C9" t="s">
        <v>116</v>
      </c>
      <c r="D9">
        <v>2019</v>
      </c>
      <c r="I9">
        <v>256</v>
      </c>
      <c r="J9" t="s">
        <v>114</v>
      </c>
      <c r="K9" s="19">
        <v>225</v>
      </c>
      <c r="L9" s="2"/>
      <c r="M9" s="15">
        <v>45970</v>
      </c>
      <c r="N9" s="15" t="s">
        <v>178</v>
      </c>
      <c r="O9" t="s">
        <v>179</v>
      </c>
    </row>
    <row r="10" spans="1:17">
      <c r="A10" t="s">
        <v>180</v>
      </c>
      <c r="B10" t="s">
        <v>30</v>
      </c>
      <c r="C10" t="s">
        <v>116</v>
      </c>
      <c r="D10">
        <v>2018</v>
      </c>
      <c r="E10" t="s">
        <v>181</v>
      </c>
      <c r="F10" t="s">
        <v>127</v>
      </c>
      <c r="G10">
        <v>16</v>
      </c>
      <c r="H10" t="s">
        <v>120</v>
      </c>
      <c r="I10">
        <v>256</v>
      </c>
      <c r="J10" t="s">
        <v>114</v>
      </c>
      <c r="K10" s="21">
        <v>325</v>
      </c>
      <c r="L10" s="3"/>
      <c r="M10" s="15">
        <v>45999</v>
      </c>
      <c r="N10" s="15" t="s">
        <v>178</v>
      </c>
      <c r="O10" t="s">
        <v>179</v>
      </c>
    </row>
    <row r="11" spans="1:17">
      <c r="A11" t="s">
        <v>182</v>
      </c>
      <c r="B11" t="s">
        <v>39</v>
      </c>
      <c r="C11" t="s">
        <v>116</v>
      </c>
      <c r="D11">
        <v>2015</v>
      </c>
      <c r="E11" t="s">
        <v>183</v>
      </c>
      <c r="F11" t="s">
        <v>127</v>
      </c>
      <c r="G11">
        <v>8</v>
      </c>
      <c r="H11" t="s">
        <v>113</v>
      </c>
      <c r="I11">
        <v>256</v>
      </c>
      <c r="J11" t="s">
        <v>114</v>
      </c>
      <c r="K11" s="19">
        <v>225</v>
      </c>
      <c r="L11" s="2"/>
      <c r="M11" s="15">
        <v>45999</v>
      </c>
      <c r="N11" s="15" t="s">
        <v>178</v>
      </c>
      <c r="O11" t="s">
        <v>179</v>
      </c>
    </row>
    <row r="12" spans="1:17">
      <c r="A12" t="s">
        <v>184</v>
      </c>
      <c r="B12" t="s">
        <v>20</v>
      </c>
      <c r="C12" t="s">
        <v>116</v>
      </c>
      <c r="D12">
        <v>2014</v>
      </c>
      <c r="E12" t="s">
        <v>185</v>
      </c>
      <c r="F12" t="s">
        <v>112</v>
      </c>
      <c r="G12">
        <v>8</v>
      </c>
      <c r="H12" t="s">
        <v>113</v>
      </c>
      <c r="I12">
        <v>256</v>
      </c>
      <c r="J12" t="s">
        <v>114</v>
      </c>
      <c r="K12" s="19">
        <v>175</v>
      </c>
      <c r="L12" s="1" t="s">
        <v>186</v>
      </c>
      <c r="M12" s="15">
        <v>45999</v>
      </c>
      <c r="N12" s="15" t="s">
        <v>178</v>
      </c>
      <c r="O12" t="s">
        <v>179</v>
      </c>
    </row>
    <row r="13" spans="1:17">
      <c r="A13" t="s">
        <v>187</v>
      </c>
      <c r="B13" t="s">
        <v>39</v>
      </c>
      <c r="C13" t="s">
        <v>116</v>
      </c>
      <c r="D13">
        <v>2019</v>
      </c>
      <c r="E13" t="s">
        <v>188</v>
      </c>
      <c r="F13" t="s">
        <v>127</v>
      </c>
      <c r="G13">
        <v>16</v>
      </c>
      <c r="H13" t="s">
        <v>120</v>
      </c>
      <c r="I13">
        <v>256</v>
      </c>
      <c r="J13" t="s">
        <v>114</v>
      </c>
      <c r="K13" s="19">
        <v>325</v>
      </c>
      <c r="L13" s="2"/>
      <c r="M13" s="15">
        <v>45999</v>
      </c>
      <c r="N13" s="15" t="s">
        <v>178</v>
      </c>
      <c r="O13" t="s">
        <v>179</v>
      </c>
    </row>
    <row r="14" spans="1:17">
      <c r="A14" t="s">
        <v>180</v>
      </c>
      <c r="B14" t="s">
        <v>30</v>
      </c>
      <c r="C14" t="s">
        <v>116</v>
      </c>
      <c r="D14">
        <v>2018</v>
      </c>
      <c r="E14" t="s">
        <v>181</v>
      </c>
      <c r="F14" t="s">
        <v>127</v>
      </c>
      <c r="G14">
        <v>16</v>
      </c>
      <c r="H14" t="s">
        <v>120</v>
      </c>
      <c r="I14">
        <v>256</v>
      </c>
      <c r="J14" t="s">
        <v>114</v>
      </c>
      <c r="K14" s="19">
        <v>325</v>
      </c>
      <c r="L14" s="2"/>
      <c r="M14" s="15">
        <v>45999</v>
      </c>
      <c r="N14" s="15" t="s">
        <v>178</v>
      </c>
      <c r="O14" t="s">
        <v>179</v>
      </c>
    </row>
    <row r="15" spans="1:17">
      <c r="A15" t="s">
        <v>189</v>
      </c>
      <c r="B15" t="s">
        <v>30</v>
      </c>
      <c r="C15" t="s">
        <v>116</v>
      </c>
      <c r="D15">
        <v>2021</v>
      </c>
      <c r="E15" t="s">
        <v>190</v>
      </c>
      <c r="F15" t="s">
        <v>127</v>
      </c>
      <c r="G15">
        <v>16</v>
      </c>
      <c r="H15" t="s">
        <v>120</v>
      </c>
      <c r="I15">
        <v>256</v>
      </c>
      <c r="J15" t="s">
        <v>114</v>
      </c>
      <c r="K15" s="19">
        <v>205</v>
      </c>
      <c r="L15" s="2"/>
      <c r="M15" s="15">
        <v>45999</v>
      </c>
      <c r="N15" s="15" t="s">
        <v>178</v>
      </c>
      <c r="O15" t="s">
        <v>179</v>
      </c>
    </row>
    <row r="16" spans="1:17">
      <c r="A16" t="s">
        <v>191</v>
      </c>
      <c r="B16" t="s">
        <v>23</v>
      </c>
      <c r="C16" t="s">
        <v>161</v>
      </c>
      <c r="D16">
        <v>2012</v>
      </c>
      <c r="E16" t="s">
        <v>192</v>
      </c>
      <c r="F16" t="s">
        <v>193</v>
      </c>
      <c r="G16">
        <v>1</v>
      </c>
      <c r="H16" t="s">
        <v>194</v>
      </c>
      <c r="I16" s="1">
        <v>64</v>
      </c>
      <c r="J16" t="s">
        <v>195</v>
      </c>
      <c r="K16" s="19">
        <v>50</v>
      </c>
      <c r="L16" s="1" t="s">
        <v>196</v>
      </c>
      <c r="M16" s="15">
        <v>45999</v>
      </c>
      <c r="N16" s="15" t="s">
        <v>178</v>
      </c>
      <c r="O16" t="s">
        <v>179</v>
      </c>
    </row>
    <row r="17" spans="1:15">
      <c r="A17" t="s">
        <v>197</v>
      </c>
      <c r="B17" t="s">
        <v>23</v>
      </c>
      <c r="C17" t="s">
        <v>161</v>
      </c>
      <c r="D17">
        <v>2014</v>
      </c>
      <c r="E17" t="s">
        <v>192</v>
      </c>
      <c r="F17" t="s">
        <v>193</v>
      </c>
      <c r="G17">
        <v>2</v>
      </c>
      <c r="H17" t="s">
        <v>113</v>
      </c>
      <c r="I17">
        <v>128</v>
      </c>
      <c r="J17" t="s">
        <v>195</v>
      </c>
      <c r="K17" s="19">
        <v>60</v>
      </c>
      <c r="L17" s="1" t="s">
        <v>196</v>
      </c>
      <c r="M17" s="15">
        <v>45999</v>
      </c>
      <c r="N17" s="15" t="s">
        <v>178</v>
      </c>
      <c r="O17" t="s">
        <v>179</v>
      </c>
    </row>
    <row r="18" spans="1:15">
      <c r="A18" t="s">
        <v>198</v>
      </c>
      <c r="B18" t="s">
        <v>30</v>
      </c>
      <c r="C18" t="s">
        <v>110</v>
      </c>
      <c r="D18">
        <v>2018</v>
      </c>
      <c r="E18" t="s">
        <v>199</v>
      </c>
      <c r="F18" t="s">
        <v>127</v>
      </c>
      <c r="G18">
        <v>8</v>
      </c>
      <c r="H18" t="s">
        <v>120</v>
      </c>
      <c r="I18">
        <v>256</v>
      </c>
      <c r="J18" t="s">
        <v>114</v>
      </c>
      <c r="K18" s="19">
        <v>250</v>
      </c>
      <c r="L18" s="1" t="s">
        <v>200</v>
      </c>
      <c r="M18" s="16">
        <v>46043</v>
      </c>
      <c r="N18" s="16" t="s">
        <v>201</v>
      </c>
      <c r="O18" t="s">
        <v>202</v>
      </c>
    </row>
    <row r="19" spans="1:15">
      <c r="A19" t="s">
        <v>65</v>
      </c>
      <c r="B19" t="s">
        <v>30</v>
      </c>
      <c r="C19" t="s">
        <v>110</v>
      </c>
      <c r="D19">
        <v>2013</v>
      </c>
      <c r="E19" t="s">
        <v>203</v>
      </c>
      <c r="F19" t="s">
        <v>112</v>
      </c>
      <c r="G19">
        <v>8</v>
      </c>
      <c r="H19" t="s">
        <v>113</v>
      </c>
      <c r="I19">
        <v>256</v>
      </c>
      <c r="J19" t="s">
        <v>114</v>
      </c>
      <c r="K19" s="19">
        <v>290</v>
      </c>
      <c r="L19" s="1" t="s">
        <v>204</v>
      </c>
      <c r="M19" s="16">
        <v>46043</v>
      </c>
      <c r="N19" s="16" t="s">
        <v>201</v>
      </c>
      <c r="O19" t="s">
        <v>202</v>
      </c>
    </row>
    <row r="20" spans="1:15" ht="45">
      <c r="A20" t="s">
        <v>63</v>
      </c>
      <c r="B20" t="s">
        <v>30</v>
      </c>
      <c r="C20" t="s">
        <v>110</v>
      </c>
      <c r="D20">
        <v>2016</v>
      </c>
      <c r="E20" t="s">
        <v>205</v>
      </c>
      <c r="F20" t="s">
        <v>112</v>
      </c>
      <c r="G20">
        <v>16</v>
      </c>
      <c r="H20" t="s">
        <v>120</v>
      </c>
      <c r="I20">
        <v>256</v>
      </c>
      <c r="J20" t="s">
        <v>114</v>
      </c>
      <c r="K20" s="19">
        <v>300</v>
      </c>
      <c r="L20" s="1" t="s">
        <v>206</v>
      </c>
      <c r="M20" s="15">
        <v>46056</v>
      </c>
      <c r="N20" s="15" t="s">
        <v>207</v>
      </c>
      <c r="O20" t="s">
        <v>179</v>
      </c>
    </row>
    <row r="21" spans="1:15">
      <c r="A21" t="s">
        <v>208</v>
      </c>
      <c r="B21" t="s">
        <v>30</v>
      </c>
      <c r="C21" t="s">
        <v>110</v>
      </c>
      <c r="D21">
        <v>2013</v>
      </c>
      <c r="E21" t="s">
        <v>209</v>
      </c>
      <c r="F21" t="s">
        <v>112</v>
      </c>
      <c r="G21">
        <v>8</v>
      </c>
      <c r="H21" t="s">
        <v>113</v>
      </c>
      <c r="I21">
        <v>256</v>
      </c>
      <c r="J21" t="s">
        <v>114</v>
      </c>
      <c r="K21" s="19">
        <v>200</v>
      </c>
      <c r="L21" s="1"/>
      <c r="M21" s="15">
        <v>46056</v>
      </c>
      <c r="N21" s="15" t="s">
        <v>207</v>
      </c>
      <c r="O21" t="s">
        <v>179</v>
      </c>
    </row>
    <row r="22" spans="1:15">
      <c r="A22" t="s">
        <v>65</v>
      </c>
      <c r="B22" t="s">
        <v>30</v>
      </c>
      <c r="C22" t="s">
        <v>110</v>
      </c>
      <c r="D22">
        <v>2013</v>
      </c>
      <c r="E22" t="s">
        <v>210</v>
      </c>
      <c r="F22" t="s">
        <v>112</v>
      </c>
      <c r="G22">
        <v>8</v>
      </c>
      <c r="H22" t="s">
        <v>113</v>
      </c>
      <c r="I22">
        <v>256</v>
      </c>
      <c r="J22" t="s">
        <v>114</v>
      </c>
      <c r="K22" s="19">
        <v>200</v>
      </c>
      <c r="L22" s="1"/>
      <c r="M22" s="15">
        <v>46056</v>
      </c>
      <c r="N22" s="15" t="s">
        <v>207</v>
      </c>
      <c r="O22" t="s">
        <v>179</v>
      </c>
    </row>
    <row r="23" spans="1:15">
      <c r="A23" t="s">
        <v>65</v>
      </c>
      <c r="B23" t="s">
        <v>30</v>
      </c>
      <c r="C23" t="s">
        <v>110</v>
      </c>
      <c r="D23">
        <v>2013</v>
      </c>
      <c r="E23" t="s">
        <v>210</v>
      </c>
      <c r="F23" t="s">
        <v>112</v>
      </c>
      <c r="G23">
        <v>8</v>
      </c>
      <c r="H23" t="s">
        <v>113</v>
      </c>
      <c r="I23">
        <v>256</v>
      </c>
      <c r="J23" t="s">
        <v>114</v>
      </c>
      <c r="K23" s="19">
        <v>200</v>
      </c>
      <c r="L23" s="1"/>
      <c r="M23" s="15">
        <v>46056</v>
      </c>
      <c r="N23" s="15" t="s">
        <v>207</v>
      </c>
      <c r="O23" t="s">
        <v>179</v>
      </c>
    </row>
    <row r="24" spans="1:15">
      <c r="A24" t="s">
        <v>65</v>
      </c>
      <c r="B24" t="s">
        <v>30</v>
      </c>
      <c r="C24" t="s">
        <v>110</v>
      </c>
      <c r="D24">
        <v>2013</v>
      </c>
      <c r="E24" t="s">
        <v>210</v>
      </c>
      <c r="F24" t="s">
        <v>112</v>
      </c>
      <c r="G24">
        <v>8</v>
      </c>
      <c r="H24" t="s">
        <v>113</v>
      </c>
      <c r="I24">
        <v>256</v>
      </c>
      <c r="J24" t="s">
        <v>114</v>
      </c>
      <c r="K24" s="19">
        <v>200</v>
      </c>
      <c r="L24" s="1"/>
      <c r="M24" s="15">
        <v>46056</v>
      </c>
      <c r="N24" s="15" t="s">
        <v>207</v>
      </c>
      <c r="O24" t="s">
        <v>179</v>
      </c>
    </row>
    <row r="25" spans="1:15">
      <c r="A25" t="s">
        <v>65</v>
      </c>
      <c r="B25" t="s">
        <v>30</v>
      </c>
      <c r="C25" t="s">
        <v>110</v>
      </c>
      <c r="D25">
        <v>2013</v>
      </c>
      <c r="E25" t="s">
        <v>210</v>
      </c>
      <c r="F25" t="s">
        <v>112</v>
      </c>
      <c r="G25">
        <v>16</v>
      </c>
      <c r="H25" t="s">
        <v>113</v>
      </c>
      <c r="I25">
        <v>256</v>
      </c>
      <c r="J25" t="s">
        <v>114</v>
      </c>
      <c r="K25" s="19">
        <v>200</v>
      </c>
      <c r="L25" s="1"/>
      <c r="M25" s="15">
        <v>46056</v>
      </c>
      <c r="N25" s="15" t="s">
        <v>207</v>
      </c>
      <c r="O25" t="s">
        <v>179</v>
      </c>
    </row>
    <row r="26" spans="1:15">
      <c r="A26" t="s">
        <v>63</v>
      </c>
      <c r="B26" t="s">
        <v>30</v>
      </c>
      <c r="C26" t="s">
        <v>110</v>
      </c>
      <c r="D26">
        <v>2016</v>
      </c>
      <c r="E26" t="s">
        <v>205</v>
      </c>
      <c r="F26" t="s">
        <v>112</v>
      </c>
      <c r="G26">
        <v>16</v>
      </c>
      <c r="H26" t="s">
        <v>120</v>
      </c>
      <c r="I26">
        <v>256</v>
      </c>
      <c r="J26" t="s">
        <v>114</v>
      </c>
      <c r="K26" s="19">
        <v>300</v>
      </c>
      <c r="L26" s="1"/>
      <c r="M26" s="15">
        <v>46056</v>
      </c>
      <c r="N26" s="15" t="s">
        <v>207</v>
      </c>
      <c r="O26" t="s">
        <v>179</v>
      </c>
    </row>
    <row r="27" spans="1:15">
      <c r="A27" t="s">
        <v>63</v>
      </c>
      <c r="B27" t="s">
        <v>30</v>
      </c>
      <c r="C27" t="s">
        <v>110</v>
      </c>
      <c r="D27">
        <v>2016</v>
      </c>
      <c r="E27" t="s">
        <v>205</v>
      </c>
      <c r="F27" t="s">
        <v>112</v>
      </c>
      <c r="G27">
        <v>8</v>
      </c>
      <c r="H27" t="s">
        <v>113</v>
      </c>
      <c r="I27">
        <v>256</v>
      </c>
      <c r="J27" t="s">
        <v>114</v>
      </c>
      <c r="K27" s="19">
        <v>300</v>
      </c>
      <c r="L27" s="1"/>
      <c r="M27" s="15">
        <v>46056</v>
      </c>
      <c r="N27" s="15" t="s">
        <v>207</v>
      </c>
      <c r="O27" t="s">
        <v>179</v>
      </c>
    </row>
    <row r="28" spans="1:15">
      <c r="A28" t="s">
        <v>211</v>
      </c>
      <c r="B28" t="s">
        <v>15</v>
      </c>
      <c r="C28" t="s">
        <v>116</v>
      </c>
      <c r="D28">
        <v>2018</v>
      </c>
      <c r="E28" t="s">
        <v>212</v>
      </c>
      <c r="F28" t="s">
        <v>127</v>
      </c>
      <c r="G28">
        <v>16</v>
      </c>
      <c r="H28" t="s">
        <v>120</v>
      </c>
      <c r="I28">
        <v>512</v>
      </c>
      <c r="J28" t="s">
        <v>114</v>
      </c>
      <c r="K28" s="19">
        <v>445</v>
      </c>
      <c r="L28" s="1"/>
      <c r="M28" s="15">
        <v>46056</v>
      </c>
      <c r="N28" s="15" t="s">
        <v>207</v>
      </c>
      <c r="O28" t="s">
        <v>179</v>
      </c>
    </row>
    <row r="29" spans="1:15">
      <c r="A29" t="s">
        <v>211</v>
      </c>
      <c r="B29" t="s">
        <v>15</v>
      </c>
      <c r="C29" t="s">
        <v>116</v>
      </c>
      <c r="D29">
        <v>2018</v>
      </c>
      <c r="E29" t="s">
        <v>212</v>
      </c>
      <c r="F29" t="s">
        <v>127</v>
      </c>
      <c r="G29">
        <v>16</v>
      </c>
      <c r="H29" t="s">
        <v>120</v>
      </c>
      <c r="I29">
        <v>512</v>
      </c>
      <c r="J29" t="s">
        <v>114</v>
      </c>
      <c r="K29" s="19">
        <v>445</v>
      </c>
      <c r="L29" s="1"/>
      <c r="M29" s="15">
        <v>46056</v>
      </c>
      <c r="N29" s="15" t="s">
        <v>207</v>
      </c>
      <c r="O29" t="s">
        <v>179</v>
      </c>
    </row>
    <row r="30" spans="1:15">
      <c r="A30" t="s">
        <v>118</v>
      </c>
      <c r="B30" t="s">
        <v>77</v>
      </c>
      <c r="C30" t="s">
        <v>110</v>
      </c>
      <c r="D30">
        <v>2018</v>
      </c>
      <c r="E30" t="s">
        <v>213</v>
      </c>
      <c r="F30" t="s">
        <v>112</v>
      </c>
      <c r="G30">
        <v>8</v>
      </c>
      <c r="H30" t="s">
        <v>120</v>
      </c>
      <c r="I30">
        <v>256</v>
      </c>
      <c r="J30" t="s">
        <v>114</v>
      </c>
      <c r="K30" s="19">
        <v>150</v>
      </c>
      <c r="L30" s="1"/>
      <c r="M30" s="15">
        <v>46056</v>
      </c>
      <c r="N30" s="15" t="s">
        <v>207</v>
      </c>
      <c r="O30" t="s">
        <v>179</v>
      </c>
    </row>
    <row r="31" spans="1:15">
      <c r="A31" s="8" t="s">
        <v>63</v>
      </c>
      <c r="B31" s="27" t="s">
        <v>30</v>
      </c>
      <c r="C31" t="s">
        <v>110</v>
      </c>
      <c r="D31">
        <v>2016</v>
      </c>
      <c r="E31" t="s">
        <v>205</v>
      </c>
      <c r="F31" t="s">
        <v>112</v>
      </c>
      <c r="G31">
        <v>8</v>
      </c>
      <c r="H31" t="s">
        <v>120</v>
      </c>
      <c r="I31">
        <v>500</v>
      </c>
      <c r="J31" t="s">
        <v>214</v>
      </c>
      <c r="K31" s="19">
        <v>300</v>
      </c>
      <c r="L31" s="1"/>
      <c r="M31" s="16">
        <v>46058</v>
      </c>
      <c r="N31" s="16" t="s">
        <v>207</v>
      </c>
      <c r="O31" t="s">
        <v>179</v>
      </c>
    </row>
    <row r="32" spans="1:15">
      <c r="A32" t="s">
        <v>63</v>
      </c>
      <c r="B32" t="s">
        <v>30</v>
      </c>
      <c r="C32" t="s">
        <v>110</v>
      </c>
      <c r="D32">
        <v>2016</v>
      </c>
      <c r="E32" t="s">
        <v>205</v>
      </c>
      <c r="F32" t="s">
        <v>112</v>
      </c>
      <c r="G32">
        <v>8</v>
      </c>
      <c r="H32" t="s">
        <v>120</v>
      </c>
      <c r="I32">
        <v>256</v>
      </c>
      <c r="J32" t="s">
        <v>114</v>
      </c>
      <c r="K32" s="19">
        <v>300</v>
      </c>
      <c r="M32" s="16">
        <v>46058</v>
      </c>
      <c r="N32" s="16" t="s">
        <v>207</v>
      </c>
      <c r="O32" t="s">
        <v>179</v>
      </c>
    </row>
    <row r="33" spans="1:15">
      <c r="A33" t="s">
        <v>63</v>
      </c>
      <c r="B33" t="s">
        <v>30</v>
      </c>
      <c r="C33" t="s">
        <v>110</v>
      </c>
      <c r="D33">
        <v>2016</v>
      </c>
      <c r="E33" t="s">
        <v>205</v>
      </c>
      <c r="F33" t="s">
        <v>112</v>
      </c>
      <c r="G33">
        <v>8</v>
      </c>
      <c r="H33" t="s">
        <v>120</v>
      </c>
      <c r="I33">
        <v>256</v>
      </c>
      <c r="J33" t="s">
        <v>114</v>
      </c>
      <c r="K33" s="19">
        <v>300</v>
      </c>
      <c r="M33" s="16">
        <v>46058</v>
      </c>
      <c r="N33" s="16" t="s">
        <v>207</v>
      </c>
      <c r="O33" t="s">
        <v>179</v>
      </c>
    </row>
    <row r="34" spans="1:15">
      <c r="A34" t="s">
        <v>215</v>
      </c>
      <c r="B34" t="s">
        <v>15</v>
      </c>
      <c r="C34" t="s">
        <v>116</v>
      </c>
      <c r="D34">
        <v>2020</v>
      </c>
      <c r="E34" t="s">
        <v>212</v>
      </c>
      <c r="F34" t="s">
        <v>127</v>
      </c>
      <c r="G34">
        <v>16</v>
      </c>
      <c r="H34" t="s">
        <v>120</v>
      </c>
      <c r="I34">
        <v>512</v>
      </c>
      <c r="J34" t="s">
        <v>114</v>
      </c>
      <c r="K34" s="19">
        <v>445</v>
      </c>
      <c r="M34" s="16">
        <v>46058</v>
      </c>
      <c r="N34" s="16" t="s">
        <v>207</v>
      </c>
      <c r="O34" t="s">
        <v>179</v>
      </c>
    </row>
    <row r="35" spans="1:15">
      <c r="A35" t="s">
        <v>215</v>
      </c>
      <c r="B35" t="s">
        <v>15</v>
      </c>
      <c r="C35" t="s">
        <v>116</v>
      </c>
      <c r="D35">
        <v>2020</v>
      </c>
      <c r="E35" t="s">
        <v>212</v>
      </c>
      <c r="F35" t="s">
        <v>127</v>
      </c>
      <c r="G35">
        <v>16</v>
      </c>
      <c r="H35" t="s">
        <v>120</v>
      </c>
      <c r="I35">
        <v>512</v>
      </c>
      <c r="J35" t="s">
        <v>114</v>
      </c>
      <c r="K35" s="19">
        <v>445</v>
      </c>
      <c r="M35" s="16">
        <v>46058</v>
      </c>
      <c r="N35" s="16" t="s">
        <v>207</v>
      </c>
      <c r="O35" t="s">
        <v>179</v>
      </c>
    </row>
    <row r="36" spans="1:15">
      <c r="A36" t="s">
        <v>215</v>
      </c>
      <c r="B36" t="s">
        <v>15</v>
      </c>
      <c r="C36" t="s">
        <v>116</v>
      </c>
      <c r="D36">
        <v>2020</v>
      </c>
      <c r="E36" t="s">
        <v>212</v>
      </c>
      <c r="F36" t="s">
        <v>127</v>
      </c>
      <c r="G36">
        <v>16</v>
      </c>
      <c r="H36" t="s">
        <v>120</v>
      </c>
      <c r="I36">
        <v>512</v>
      </c>
      <c r="J36" t="s">
        <v>114</v>
      </c>
      <c r="K36" s="19">
        <v>445</v>
      </c>
      <c r="M36" s="16">
        <v>46058</v>
      </c>
      <c r="N36" s="16" t="s">
        <v>207</v>
      </c>
      <c r="O36" t="s">
        <v>179</v>
      </c>
    </row>
    <row r="37" spans="1:15">
      <c r="A37" t="s">
        <v>215</v>
      </c>
      <c r="B37" t="s">
        <v>15</v>
      </c>
      <c r="C37" t="s">
        <v>116</v>
      </c>
      <c r="D37">
        <v>2020</v>
      </c>
      <c r="E37" t="s">
        <v>212</v>
      </c>
      <c r="F37" t="s">
        <v>127</v>
      </c>
      <c r="G37">
        <v>16</v>
      </c>
      <c r="H37" t="s">
        <v>120</v>
      </c>
      <c r="I37">
        <v>512</v>
      </c>
      <c r="J37" t="s">
        <v>114</v>
      </c>
      <c r="K37" s="19">
        <v>445</v>
      </c>
      <c r="M37" s="16">
        <v>46058</v>
      </c>
      <c r="N37" s="16" t="s">
        <v>207</v>
      </c>
      <c r="O37" t="s">
        <v>179</v>
      </c>
    </row>
    <row r="38" spans="1:15">
      <c r="A38" t="s">
        <v>215</v>
      </c>
      <c r="B38" t="s">
        <v>15</v>
      </c>
      <c r="C38" t="s">
        <v>116</v>
      </c>
      <c r="D38">
        <v>2020</v>
      </c>
      <c r="E38" t="s">
        <v>212</v>
      </c>
      <c r="F38" t="s">
        <v>127</v>
      </c>
      <c r="G38">
        <v>16</v>
      </c>
      <c r="H38" t="s">
        <v>120</v>
      </c>
      <c r="I38">
        <v>512</v>
      </c>
      <c r="J38" t="s">
        <v>114</v>
      </c>
      <c r="K38" s="19">
        <v>445</v>
      </c>
      <c r="M38" s="16">
        <v>46058</v>
      </c>
      <c r="N38" s="16" t="s">
        <v>207</v>
      </c>
      <c r="O38" t="s">
        <v>179</v>
      </c>
    </row>
    <row r="39" spans="1:15">
      <c r="A39" t="s">
        <v>215</v>
      </c>
      <c r="B39" t="s">
        <v>15</v>
      </c>
      <c r="C39" t="s">
        <v>116</v>
      </c>
      <c r="D39">
        <v>2020</v>
      </c>
      <c r="E39" t="s">
        <v>212</v>
      </c>
      <c r="F39" t="s">
        <v>127</v>
      </c>
      <c r="G39">
        <v>16</v>
      </c>
      <c r="H39" t="s">
        <v>120</v>
      </c>
      <c r="I39">
        <v>512</v>
      </c>
      <c r="J39" t="s">
        <v>114</v>
      </c>
      <c r="K39" s="19">
        <v>445</v>
      </c>
      <c r="M39" s="16">
        <v>46058</v>
      </c>
      <c r="N39" s="16" t="s">
        <v>207</v>
      </c>
      <c r="O39" t="s">
        <v>179</v>
      </c>
    </row>
    <row r="40" spans="1:15" ht="15" customHeight="1">
      <c r="A40" t="s">
        <v>215</v>
      </c>
      <c r="B40" t="s">
        <v>15</v>
      </c>
      <c r="C40" t="s">
        <v>116</v>
      </c>
      <c r="D40">
        <v>2020</v>
      </c>
      <c r="E40" t="s">
        <v>212</v>
      </c>
      <c r="F40" t="s">
        <v>127</v>
      </c>
      <c r="G40">
        <v>16</v>
      </c>
      <c r="H40" t="s">
        <v>120</v>
      </c>
      <c r="I40">
        <v>512</v>
      </c>
      <c r="J40" t="s">
        <v>114</v>
      </c>
      <c r="K40" s="19">
        <v>445</v>
      </c>
      <c r="M40" s="16">
        <v>46058</v>
      </c>
      <c r="N40" s="16" t="s">
        <v>207</v>
      </c>
      <c r="O40" t="s">
        <v>179</v>
      </c>
    </row>
    <row r="41" spans="1:15" ht="15" customHeight="1">
      <c r="A41" t="s">
        <v>215</v>
      </c>
      <c r="B41" t="s">
        <v>15</v>
      </c>
      <c r="C41" t="s">
        <v>116</v>
      </c>
      <c r="D41">
        <v>2020</v>
      </c>
      <c r="E41" t="s">
        <v>212</v>
      </c>
      <c r="F41" t="s">
        <v>127</v>
      </c>
      <c r="G41">
        <v>16</v>
      </c>
      <c r="H41" t="s">
        <v>120</v>
      </c>
      <c r="I41">
        <v>512</v>
      </c>
      <c r="J41" t="s">
        <v>114</v>
      </c>
      <c r="K41" s="19">
        <v>445</v>
      </c>
      <c r="M41" s="16">
        <v>46058</v>
      </c>
      <c r="N41" s="16" t="s">
        <v>207</v>
      </c>
      <c r="O41" t="s">
        <v>179</v>
      </c>
    </row>
    <row r="42" spans="1:15" ht="15" customHeight="1">
      <c r="A42" t="s">
        <v>215</v>
      </c>
      <c r="B42" t="s">
        <v>15</v>
      </c>
      <c r="C42" t="s">
        <v>116</v>
      </c>
      <c r="D42">
        <v>2020</v>
      </c>
      <c r="E42" t="s">
        <v>212</v>
      </c>
      <c r="F42" t="s">
        <v>127</v>
      </c>
      <c r="G42">
        <v>16</v>
      </c>
      <c r="H42" t="s">
        <v>120</v>
      </c>
      <c r="I42">
        <v>512</v>
      </c>
      <c r="J42" t="s">
        <v>114</v>
      </c>
      <c r="K42" s="19">
        <v>445</v>
      </c>
      <c r="M42" s="16">
        <v>46058</v>
      </c>
      <c r="N42" s="16" t="s">
        <v>207</v>
      </c>
      <c r="O42" t="s">
        <v>179</v>
      </c>
    </row>
    <row r="43" spans="1:15" ht="15" customHeight="1">
      <c r="A43" t="s">
        <v>216</v>
      </c>
      <c r="B43" t="s">
        <v>30</v>
      </c>
      <c r="C43" t="s">
        <v>116</v>
      </c>
      <c r="D43">
        <v>2018</v>
      </c>
      <c r="E43" t="s">
        <v>217</v>
      </c>
      <c r="F43" t="s">
        <v>127</v>
      </c>
      <c r="G43">
        <v>8</v>
      </c>
      <c r="H43" t="s">
        <v>120</v>
      </c>
      <c r="I43">
        <v>256</v>
      </c>
      <c r="J43" t="s">
        <v>114</v>
      </c>
      <c r="K43" s="19">
        <v>300</v>
      </c>
      <c r="L43" s="1"/>
      <c r="M43" s="16">
        <v>46078</v>
      </c>
      <c r="N43" s="16" t="s">
        <v>218</v>
      </c>
      <c r="O43" t="s">
        <v>202</v>
      </c>
    </row>
    <row r="44" spans="1:15" ht="15" customHeight="1">
      <c r="A44" s="4" t="s">
        <v>63</v>
      </c>
      <c r="B44" s="26" t="s">
        <v>30</v>
      </c>
      <c r="C44" t="s">
        <v>110</v>
      </c>
      <c r="D44" s="5">
        <v>2016</v>
      </c>
      <c r="E44" t="s">
        <v>137</v>
      </c>
      <c r="F44" t="s">
        <v>112</v>
      </c>
      <c r="G44">
        <v>8</v>
      </c>
      <c r="H44" t="s">
        <v>120</v>
      </c>
      <c r="I44">
        <v>256</v>
      </c>
      <c r="J44" t="s">
        <v>114</v>
      </c>
      <c r="K44" s="19">
        <v>300</v>
      </c>
      <c r="L44" s="1"/>
      <c r="M44" s="16">
        <v>46099</v>
      </c>
      <c r="N44" s="16" t="s">
        <v>219</v>
      </c>
      <c r="O44" t="s">
        <v>202</v>
      </c>
    </row>
    <row r="45" spans="1:15" ht="15" customHeight="1">
      <c r="A45" t="s">
        <v>76</v>
      </c>
      <c r="B45" t="s">
        <v>220</v>
      </c>
      <c r="C45" t="s">
        <v>110</v>
      </c>
      <c r="D45">
        <v>2014</v>
      </c>
      <c r="E45" t="s">
        <v>221</v>
      </c>
      <c r="F45" t="s">
        <v>222</v>
      </c>
      <c r="G45">
        <v>8</v>
      </c>
      <c r="H45" t="s">
        <v>113</v>
      </c>
      <c r="I45">
        <v>512</v>
      </c>
      <c r="J45" t="s">
        <v>114</v>
      </c>
      <c r="K45" s="19">
        <v>300</v>
      </c>
      <c r="M45" s="15">
        <v>46143</v>
      </c>
      <c r="N45" s="15" t="s">
        <v>223</v>
      </c>
      <c r="O45" t="s">
        <v>202</v>
      </c>
    </row>
    <row r="46" spans="1:15" ht="15" customHeight="1">
      <c r="A46" t="s">
        <v>224</v>
      </c>
      <c r="B46" t="s">
        <v>53</v>
      </c>
      <c r="C46" t="s">
        <v>116</v>
      </c>
      <c r="D46">
        <v>2017</v>
      </c>
      <c r="E46" t="s">
        <v>225</v>
      </c>
      <c r="F46" t="s">
        <v>226</v>
      </c>
      <c r="G46">
        <v>4</v>
      </c>
      <c r="H46" t="s">
        <v>113</v>
      </c>
      <c r="I46">
        <v>16</v>
      </c>
      <c r="J46" t="s">
        <v>195</v>
      </c>
      <c r="K46" s="19">
        <v>15</v>
      </c>
      <c r="M46" s="15">
        <v>46153</v>
      </c>
      <c r="N46" s="15" t="s">
        <v>178</v>
      </c>
      <c r="O46" t="s">
        <v>179</v>
      </c>
    </row>
    <row r="47" spans="1:15" ht="15" customHeight="1">
      <c r="A47" t="s">
        <v>224</v>
      </c>
      <c r="B47" t="s">
        <v>53</v>
      </c>
      <c r="C47" t="s">
        <v>116</v>
      </c>
      <c r="D47">
        <v>2017</v>
      </c>
      <c r="E47" t="s">
        <v>225</v>
      </c>
      <c r="F47" t="s">
        <v>226</v>
      </c>
      <c r="G47">
        <v>4</v>
      </c>
      <c r="H47" t="s">
        <v>113</v>
      </c>
      <c r="I47">
        <v>16</v>
      </c>
      <c r="J47" t="s">
        <v>195</v>
      </c>
      <c r="K47" s="19">
        <v>15</v>
      </c>
      <c r="M47" s="15">
        <v>46153</v>
      </c>
      <c r="N47" s="15" t="s">
        <v>178</v>
      </c>
      <c r="O47" t="s">
        <v>179</v>
      </c>
    </row>
    <row r="48" spans="1:15" ht="15" customHeight="1">
      <c r="A48" t="s">
        <v>224</v>
      </c>
      <c r="B48" t="s">
        <v>53</v>
      </c>
      <c r="C48" t="s">
        <v>116</v>
      </c>
      <c r="D48">
        <v>2017</v>
      </c>
      <c r="E48" t="s">
        <v>225</v>
      </c>
      <c r="F48" t="s">
        <v>226</v>
      </c>
      <c r="G48">
        <v>4</v>
      </c>
      <c r="H48" t="s">
        <v>113</v>
      </c>
      <c r="I48">
        <v>16</v>
      </c>
      <c r="J48" t="s">
        <v>195</v>
      </c>
      <c r="K48" s="19">
        <v>15</v>
      </c>
      <c r="M48" s="15">
        <v>46153</v>
      </c>
      <c r="N48" s="15" t="s">
        <v>178</v>
      </c>
      <c r="O48" t="s">
        <v>179</v>
      </c>
    </row>
    <row r="49" spans="1:15" ht="15" customHeight="1">
      <c r="A49" t="s">
        <v>224</v>
      </c>
      <c r="B49" t="s">
        <v>53</v>
      </c>
      <c r="C49" t="s">
        <v>116</v>
      </c>
      <c r="D49">
        <v>2017</v>
      </c>
      <c r="E49" t="s">
        <v>225</v>
      </c>
      <c r="F49" t="s">
        <v>226</v>
      </c>
      <c r="G49">
        <v>4</v>
      </c>
      <c r="H49" t="s">
        <v>113</v>
      </c>
      <c r="I49">
        <v>16</v>
      </c>
      <c r="J49" t="s">
        <v>195</v>
      </c>
      <c r="K49" s="19">
        <v>15</v>
      </c>
      <c r="M49" s="15">
        <v>46153</v>
      </c>
      <c r="N49" s="15" t="s">
        <v>178</v>
      </c>
      <c r="O49" t="s">
        <v>179</v>
      </c>
    </row>
    <row r="50" spans="1:15" ht="15" customHeight="1">
      <c r="A50" t="s">
        <v>224</v>
      </c>
      <c r="B50" t="s">
        <v>53</v>
      </c>
      <c r="C50" t="s">
        <v>116</v>
      </c>
      <c r="D50">
        <v>2017</v>
      </c>
      <c r="E50" t="s">
        <v>225</v>
      </c>
      <c r="F50" t="s">
        <v>226</v>
      </c>
      <c r="G50">
        <v>4</v>
      </c>
      <c r="H50" t="s">
        <v>113</v>
      </c>
      <c r="I50">
        <v>16</v>
      </c>
      <c r="J50" t="s">
        <v>195</v>
      </c>
      <c r="K50" s="19">
        <v>15</v>
      </c>
      <c r="M50" s="15">
        <v>46153</v>
      </c>
      <c r="N50" s="15" t="s">
        <v>178</v>
      </c>
      <c r="O50" t="s">
        <v>179</v>
      </c>
    </row>
    <row r="51" spans="1:15" ht="15" customHeight="1">
      <c r="A51" t="s">
        <v>224</v>
      </c>
      <c r="B51" t="s">
        <v>53</v>
      </c>
      <c r="C51" t="s">
        <v>116</v>
      </c>
      <c r="D51">
        <v>2017</v>
      </c>
      <c r="E51" t="s">
        <v>225</v>
      </c>
      <c r="F51" t="s">
        <v>226</v>
      </c>
      <c r="G51">
        <v>4</v>
      </c>
      <c r="H51" t="s">
        <v>113</v>
      </c>
      <c r="I51">
        <v>16</v>
      </c>
      <c r="J51" t="s">
        <v>195</v>
      </c>
      <c r="K51" s="19">
        <v>15</v>
      </c>
      <c r="M51" s="15">
        <v>46153</v>
      </c>
      <c r="N51" s="15" t="s">
        <v>178</v>
      </c>
      <c r="O51" t="s">
        <v>179</v>
      </c>
    </row>
    <row r="52" spans="1:15" ht="15" customHeight="1">
      <c r="A52" t="s">
        <v>224</v>
      </c>
      <c r="B52" t="s">
        <v>53</v>
      </c>
      <c r="C52" t="s">
        <v>116</v>
      </c>
      <c r="D52">
        <v>2017</v>
      </c>
      <c r="E52" t="s">
        <v>225</v>
      </c>
      <c r="F52" t="s">
        <v>226</v>
      </c>
      <c r="G52">
        <v>4</v>
      </c>
      <c r="H52" t="s">
        <v>113</v>
      </c>
      <c r="I52">
        <v>16</v>
      </c>
      <c r="J52" t="s">
        <v>195</v>
      </c>
      <c r="K52" s="19">
        <v>15</v>
      </c>
      <c r="M52" s="15">
        <v>46153</v>
      </c>
      <c r="N52" s="15" t="s">
        <v>178</v>
      </c>
      <c r="O52" t="s">
        <v>179</v>
      </c>
    </row>
    <row r="53" spans="1:15" ht="15" customHeight="1">
      <c r="A53" t="s">
        <v>224</v>
      </c>
      <c r="B53" t="s">
        <v>53</v>
      </c>
      <c r="C53" t="s">
        <v>116</v>
      </c>
      <c r="D53">
        <v>2017</v>
      </c>
      <c r="E53" t="s">
        <v>225</v>
      </c>
      <c r="F53" t="s">
        <v>226</v>
      </c>
      <c r="G53">
        <v>4</v>
      </c>
      <c r="H53" t="s">
        <v>113</v>
      </c>
      <c r="I53">
        <v>16</v>
      </c>
      <c r="J53" t="s">
        <v>195</v>
      </c>
      <c r="K53" s="19">
        <v>15</v>
      </c>
      <c r="M53" s="15">
        <v>46153</v>
      </c>
      <c r="N53" s="15" t="s">
        <v>178</v>
      </c>
      <c r="O53" t="s">
        <v>179</v>
      </c>
    </row>
    <row r="54" spans="1:15" ht="15" customHeight="1">
      <c r="A54" t="s">
        <v>224</v>
      </c>
      <c r="B54" t="s">
        <v>53</v>
      </c>
      <c r="C54" t="s">
        <v>116</v>
      </c>
      <c r="D54">
        <v>2017</v>
      </c>
      <c r="E54" t="s">
        <v>225</v>
      </c>
      <c r="F54" t="s">
        <v>226</v>
      </c>
      <c r="G54">
        <v>4</v>
      </c>
      <c r="H54" t="s">
        <v>113</v>
      </c>
      <c r="I54">
        <v>16</v>
      </c>
      <c r="J54" t="s">
        <v>195</v>
      </c>
      <c r="K54" s="19">
        <v>15</v>
      </c>
      <c r="M54" s="15">
        <v>46153</v>
      </c>
      <c r="N54" s="15" t="s">
        <v>178</v>
      </c>
      <c r="O54" t="s">
        <v>179</v>
      </c>
    </row>
    <row r="55" spans="1:15" ht="15" customHeight="1">
      <c r="A55" t="s">
        <v>224</v>
      </c>
      <c r="B55" t="s">
        <v>53</v>
      </c>
      <c r="C55" t="s">
        <v>116</v>
      </c>
      <c r="D55">
        <v>2017</v>
      </c>
      <c r="E55" t="s">
        <v>225</v>
      </c>
      <c r="F55" t="s">
        <v>226</v>
      </c>
      <c r="G55">
        <v>4</v>
      </c>
      <c r="H55" t="s">
        <v>113</v>
      </c>
      <c r="I55">
        <v>16</v>
      </c>
      <c r="J55" t="s">
        <v>195</v>
      </c>
      <c r="K55" s="19">
        <v>15</v>
      </c>
      <c r="M55" s="15">
        <v>46153</v>
      </c>
      <c r="N55" s="15" t="s">
        <v>178</v>
      </c>
      <c r="O55" t="s">
        <v>179</v>
      </c>
    </row>
    <row r="56" spans="1:15" ht="15" customHeight="1">
      <c r="A56" t="s">
        <v>224</v>
      </c>
      <c r="B56" t="s">
        <v>53</v>
      </c>
      <c r="C56" t="s">
        <v>116</v>
      </c>
      <c r="D56">
        <v>2017</v>
      </c>
      <c r="E56" t="s">
        <v>225</v>
      </c>
      <c r="F56" t="s">
        <v>226</v>
      </c>
      <c r="G56">
        <v>4</v>
      </c>
      <c r="H56" t="s">
        <v>113</v>
      </c>
      <c r="I56">
        <v>16</v>
      </c>
      <c r="J56" t="s">
        <v>195</v>
      </c>
      <c r="K56" s="19">
        <v>15</v>
      </c>
      <c r="M56" s="15">
        <v>46153</v>
      </c>
      <c r="N56" s="15" t="s">
        <v>178</v>
      </c>
      <c r="O56" t="s">
        <v>179</v>
      </c>
    </row>
    <row r="57" spans="1:15" ht="15" customHeight="1">
      <c r="A57" t="s">
        <v>224</v>
      </c>
      <c r="B57" t="s">
        <v>53</v>
      </c>
      <c r="C57" t="s">
        <v>116</v>
      </c>
      <c r="D57">
        <v>2017</v>
      </c>
      <c r="E57" t="s">
        <v>225</v>
      </c>
      <c r="F57" t="s">
        <v>226</v>
      </c>
      <c r="G57">
        <v>4</v>
      </c>
      <c r="H57" t="s">
        <v>113</v>
      </c>
      <c r="I57">
        <v>16</v>
      </c>
      <c r="J57" t="s">
        <v>195</v>
      </c>
      <c r="K57" s="19">
        <v>15</v>
      </c>
      <c r="M57" s="15">
        <v>46153</v>
      </c>
      <c r="N57" s="15" t="s">
        <v>178</v>
      </c>
      <c r="O57" t="s">
        <v>179</v>
      </c>
    </row>
    <row r="58" spans="1:15" ht="15" customHeight="1">
      <c r="A58" t="s">
        <v>224</v>
      </c>
      <c r="B58" t="s">
        <v>53</v>
      </c>
      <c r="C58" t="s">
        <v>116</v>
      </c>
      <c r="D58">
        <v>2017</v>
      </c>
      <c r="E58" t="s">
        <v>225</v>
      </c>
      <c r="F58" t="s">
        <v>226</v>
      </c>
      <c r="G58">
        <v>4</v>
      </c>
      <c r="H58" t="s">
        <v>113</v>
      </c>
      <c r="I58">
        <v>16</v>
      </c>
      <c r="J58" t="s">
        <v>195</v>
      </c>
      <c r="K58" s="19">
        <v>15</v>
      </c>
      <c r="M58" s="15">
        <v>46153</v>
      </c>
      <c r="N58" s="15" t="s">
        <v>178</v>
      </c>
      <c r="O58" t="s">
        <v>179</v>
      </c>
    </row>
    <row r="59" spans="1:15" ht="15" customHeight="1">
      <c r="A59" t="s">
        <v>224</v>
      </c>
      <c r="B59" t="s">
        <v>53</v>
      </c>
      <c r="C59" t="s">
        <v>116</v>
      </c>
      <c r="D59">
        <v>2017</v>
      </c>
      <c r="E59" t="s">
        <v>225</v>
      </c>
      <c r="F59" t="s">
        <v>226</v>
      </c>
      <c r="G59">
        <v>4</v>
      </c>
      <c r="H59" t="s">
        <v>113</v>
      </c>
      <c r="I59">
        <v>16</v>
      </c>
      <c r="J59" t="s">
        <v>195</v>
      </c>
      <c r="K59" s="19">
        <v>15</v>
      </c>
      <c r="M59" s="15">
        <v>46153</v>
      </c>
      <c r="N59" s="15" t="s">
        <v>178</v>
      </c>
      <c r="O59" t="s">
        <v>179</v>
      </c>
    </row>
    <row r="60" spans="1:15" ht="15" customHeight="1">
      <c r="A60" t="s">
        <v>224</v>
      </c>
      <c r="B60" t="s">
        <v>53</v>
      </c>
      <c r="C60" t="s">
        <v>116</v>
      </c>
      <c r="D60">
        <v>2017</v>
      </c>
      <c r="E60" t="s">
        <v>225</v>
      </c>
      <c r="F60" t="s">
        <v>226</v>
      </c>
      <c r="G60">
        <v>4</v>
      </c>
      <c r="H60" t="s">
        <v>113</v>
      </c>
      <c r="I60">
        <v>16</v>
      </c>
      <c r="J60" t="s">
        <v>195</v>
      </c>
      <c r="K60" s="19">
        <v>15</v>
      </c>
      <c r="M60" s="15">
        <v>46153</v>
      </c>
      <c r="N60" s="15" t="s">
        <v>178</v>
      </c>
      <c r="O60" t="s">
        <v>179</v>
      </c>
    </row>
    <row r="61" spans="1:15" ht="15" customHeight="1">
      <c r="A61" t="s">
        <v>224</v>
      </c>
      <c r="B61" t="s">
        <v>53</v>
      </c>
      <c r="C61" t="s">
        <v>116</v>
      </c>
      <c r="D61">
        <v>2017</v>
      </c>
      <c r="E61" t="s">
        <v>225</v>
      </c>
      <c r="F61" t="s">
        <v>226</v>
      </c>
      <c r="G61">
        <v>4</v>
      </c>
      <c r="H61" t="s">
        <v>113</v>
      </c>
      <c r="I61">
        <v>16</v>
      </c>
      <c r="J61" t="s">
        <v>195</v>
      </c>
      <c r="K61" s="19">
        <v>15</v>
      </c>
      <c r="M61" s="15">
        <v>46153</v>
      </c>
      <c r="N61" s="15" t="s">
        <v>178</v>
      </c>
      <c r="O61" t="s">
        <v>179</v>
      </c>
    </row>
    <row r="62" spans="1:15" ht="15" customHeight="1">
      <c r="A62" t="s">
        <v>224</v>
      </c>
      <c r="B62" t="s">
        <v>53</v>
      </c>
      <c r="C62" t="s">
        <v>116</v>
      </c>
      <c r="D62">
        <v>2017</v>
      </c>
      <c r="E62" t="s">
        <v>225</v>
      </c>
      <c r="F62" t="s">
        <v>226</v>
      </c>
      <c r="G62">
        <v>4</v>
      </c>
      <c r="H62" t="s">
        <v>113</v>
      </c>
      <c r="I62">
        <v>16</v>
      </c>
      <c r="J62" t="s">
        <v>195</v>
      </c>
      <c r="K62" s="19">
        <v>15</v>
      </c>
      <c r="M62" s="15">
        <v>46153</v>
      </c>
      <c r="N62" s="15" t="s">
        <v>178</v>
      </c>
      <c r="O62" t="s">
        <v>179</v>
      </c>
    </row>
    <row r="63" spans="1:15" ht="15" customHeight="1">
      <c r="A63" t="s">
        <v>224</v>
      </c>
      <c r="B63" t="s">
        <v>53</v>
      </c>
      <c r="C63" t="s">
        <v>116</v>
      </c>
      <c r="D63">
        <v>2017</v>
      </c>
      <c r="E63" t="s">
        <v>225</v>
      </c>
      <c r="F63" t="s">
        <v>226</v>
      </c>
      <c r="G63">
        <v>4</v>
      </c>
      <c r="H63" t="s">
        <v>113</v>
      </c>
      <c r="I63">
        <v>16</v>
      </c>
      <c r="J63" t="s">
        <v>195</v>
      </c>
      <c r="K63" s="19">
        <v>15</v>
      </c>
      <c r="M63" s="15">
        <v>46153</v>
      </c>
      <c r="N63" s="15" t="s">
        <v>178</v>
      </c>
      <c r="O63" t="s">
        <v>179</v>
      </c>
    </row>
    <row r="64" spans="1:15" ht="15" customHeight="1">
      <c r="A64" t="s">
        <v>224</v>
      </c>
      <c r="B64" t="s">
        <v>53</v>
      </c>
      <c r="C64" t="s">
        <v>116</v>
      </c>
      <c r="D64">
        <v>2017</v>
      </c>
      <c r="E64" t="s">
        <v>225</v>
      </c>
      <c r="F64" t="s">
        <v>226</v>
      </c>
      <c r="G64">
        <v>4</v>
      </c>
      <c r="H64" t="s">
        <v>113</v>
      </c>
      <c r="I64">
        <v>16</v>
      </c>
      <c r="J64" t="s">
        <v>195</v>
      </c>
      <c r="K64" s="19">
        <v>15</v>
      </c>
      <c r="M64" s="15">
        <v>46153</v>
      </c>
      <c r="N64" s="15" t="s">
        <v>178</v>
      </c>
      <c r="O64" t="s">
        <v>179</v>
      </c>
    </row>
    <row r="65" spans="1:16" ht="15" customHeight="1">
      <c r="A65" t="s">
        <v>224</v>
      </c>
      <c r="B65" t="s">
        <v>53</v>
      </c>
      <c r="C65" t="s">
        <v>116</v>
      </c>
      <c r="D65">
        <v>2017</v>
      </c>
      <c r="E65" t="s">
        <v>225</v>
      </c>
      <c r="F65" t="s">
        <v>226</v>
      </c>
      <c r="G65">
        <v>4</v>
      </c>
      <c r="H65" t="s">
        <v>113</v>
      </c>
      <c r="I65">
        <v>16</v>
      </c>
      <c r="J65" t="s">
        <v>195</v>
      </c>
      <c r="K65" s="19">
        <v>15</v>
      </c>
      <c r="M65" s="15">
        <v>46153</v>
      </c>
      <c r="N65" s="15" t="s">
        <v>178</v>
      </c>
      <c r="O65" t="s">
        <v>179</v>
      </c>
    </row>
    <row r="66" spans="1:16" ht="15" customHeight="1">
      <c r="A66" t="s">
        <v>224</v>
      </c>
      <c r="B66" t="s">
        <v>53</v>
      </c>
      <c r="C66" t="s">
        <v>116</v>
      </c>
      <c r="D66">
        <v>2017</v>
      </c>
      <c r="E66" t="s">
        <v>225</v>
      </c>
      <c r="F66" t="s">
        <v>226</v>
      </c>
      <c r="G66">
        <v>4</v>
      </c>
      <c r="H66" t="s">
        <v>113</v>
      </c>
      <c r="I66">
        <v>16</v>
      </c>
      <c r="J66" t="s">
        <v>195</v>
      </c>
      <c r="K66" s="19">
        <v>15</v>
      </c>
      <c r="M66" s="15">
        <v>46153</v>
      </c>
      <c r="N66" s="15" t="s">
        <v>178</v>
      </c>
      <c r="O66" t="s">
        <v>179</v>
      </c>
    </row>
    <row r="67" spans="1:16" ht="15" customHeight="1">
      <c r="A67" t="s">
        <v>224</v>
      </c>
      <c r="B67" t="s">
        <v>53</v>
      </c>
      <c r="C67" t="s">
        <v>116</v>
      </c>
      <c r="D67">
        <v>2017</v>
      </c>
      <c r="E67" t="s">
        <v>225</v>
      </c>
      <c r="F67" t="s">
        <v>226</v>
      </c>
      <c r="G67">
        <v>4</v>
      </c>
      <c r="H67" t="s">
        <v>113</v>
      </c>
      <c r="I67">
        <v>16</v>
      </c>
      <c r="J67" t="s">
        <v>195</v>
      </c>
      <c r="K67" s="19">
        <v>15</v>
      </c>
      <c r="M67" s="15">
        <v>46153</v>
      </c>
      <c r="N67" s="15" t="s">
        <v>178</v>
      </c>
      <c r="O67" t="s">
        <v>179</v>
      </c>
    </row>
    <row r="68" spans="1:16" ht="15" customHeight="1">
      <c r="A68" t="s">
        <v>224</v>
      </c>
      <c r="B68" t="s">
        <v>53</v>
      </c>
      <c r="C68" t="s">
        <v>116</v>
      </c>
      <c r="D68">
        <v>2017</v>
      </c>
      <c r="E68" t="s">
        <v>225</v>
      </c>
      <c r="F68" t="s">
        <v>226</v>
      </c>
      <c r="G68">
        <v>4</v>
      </c>
      <c r="H68" t="s">
        <v>113</v>
      </c>
      <c r="I68">
        <v>16</v>
      </c>
      <c r="J68" t="s">
        <v>195</v>
      </c>
      <c r="K68" s="19">
        <v>15</v>
      </c>
      <c r="M68" s="15">
        <v>46153</v>
      </c>
      <c r="N68" s="15" t="s">
        <v>178</v>
      </c>
      <c r="O68" t="s">
        <v>179</v>
      </c>
    </row>
    <row r="69" spans="1:16" ht="15" customHeight="1">
      <c r="A69" t="s">
        <v>224</v>
      </c>
      <c r="B69" t="s">
        <v>53</v>
      </c>
      <c r="C69" t="s">
        <v>116</v>
      </c>
      <c r="D69">
        <v>2017</v>
      </c>
      <c r="E69" t="s">
        <v>225</v>
      </c>
      <c r="F69" t="s">
        <v>226</v>
      </c>
      <c r="G69">
        <v>4</v>
      </c>
      <c r="H69" t="s">
        <v>113</v>
      </c>
      <c r="I69">
        <v>16</v>
      </c>
      <c r="J69" t="s">
        <v>195</v>
      </c>
      <c r="K69" s="19">
        <v>15</v>
      </c>
      <c r="M69" s="15">
        <v>46153</v>
      </c>
      <c r="N69" s="15" t="s">
        <v>178</v>
      </c>
      <c r="O69" t="s">
        <v>179</v>
      </c>
    </row>
    <row r="70" spans="1:16" ht="15" customHeight="1">
      <c r="A70" t="s">
        <v>224</v>
      </c>
      <c r="B70" t="s">
        <v>53</v>
      </c>
      <c r="C70" t="s">
        <v>116</v>
      </c>
      <c r="D70">
        <v>2017</v>
      </c>
      <c r="E70" t="s">
        <v>225</v>
      </c>
      <c r="F70" t="s">
        <v>226</v>
      </c>
      <c r="G70">
        <v>4</v>
      </c>
      <c r="H70" t="s">
        <v>113</v>
      </c>
      <c r="I70">
        <v>16</v>
      </c>
      <c r="J70" t="s">
        <v>195</v>
      </c>
      <c r="K70" s="19">
        <v>15</v>
      </c>
      <c r="M70" s="15">
        <v>46153</v>
      </c>
      <c r="N70" s="15" t="s">
        <v>178</v>
      </c>
      <c r="O70" t="s">
        <v>179</v>
      </c>
    </row>
    <row r="71" spans="1:16" ht="15" customHeight="1">
      <c r="A71" t="s">
        <v>224</v>
      </c>
      <c r="B71" t="s">
        <v>53</v>
      </c>
      <c r="C71" t="s">
        <v>116</v>
      </c>
      <c r="D71">
        <v>2017</v>
      </c>
      <c r="E71" t="s">
        <v>225</v>
      </c>
      <c r="F71" t="s">
        <v>226</v>
      </c>
      <c r="G71">
        <v>4</v>
      </c>
      <c r="H71" t="s">
        <v>113</v>
      </c>
      <c r="I71">
        <v>16</v>
      </c>
      <c r="J71" t="s">
        <v>195</v>
      </c>
      <c r="K71" s="19">
        <v>15</v>
      </c>
      <c r="M71" s="15">
        <v>46153</v>
      </c>
      <c r="N71" s="15" t="s">
        <v>178</v>
      </c>
      <c r="O71" t="s">
        <v>179</v>
      </c>
    </row>
    <row r="72" spans="1:16" ht="15" customHeight="1">
      <c r="A72" t="s">
        <v>224</v>
      </c>
      <c r="B72" t="s">
        <v>53</v>
      </c>
      <c r="C72" t="s">
        <v>116</v>
      </c>
      <c r="D72">
        <v>2017</v>
      </c>
      <c r="E72" t="s">
        <v>225</v>
      </c>
      <c r="F72" t="s">
        <v>226</v>
      </c>
      <c r="G72">
        <v>4</v>
      </c>
      <c r="H72" t="s">
        <v>113</v>
      </c>
      <c r="I72">
        <v>16</v>
      </c>
      <c r="J72" t="s">
        <v>195</v>
      </c>
      <c r="K72" s="19">
        <v>15</v>
      </c>
      <c r="M72" s="15">
        <v>46153</v>
      </c>
      <c r="N72" s="15" t="s">
        <v>178</v>
      </c>
      <c r="O72" t="s">
        <v>179</v>
      </c>
    </row>
    <row r="73" spans="1:16" ht="15" customHeight="1">
      <c r="A73" t="s">
        <v>224</v>
      </c>
      <c r="B73" t="s">
        <v>53</v>
      </c>
      <c r="C73" t="s">
        <v>116</v>
      </c>
      <c r="D73">
        <v>2017</v>
      </c>
      <c r="E73" t="s">
        <v>225</v>
      </c>
      <c r="F73" t="s">
        <v>226</v>
      </c>
      <c r="G73">
        <v>4</v>
      </c>
      <c r="H73" t="s">
        <v>113</v>
      </c>
      <c r="I73">
        <v>16</v>
      </c>
      <c r="J73" t="s">
        <v>195</v>
      </c>
      <c r="K73" s="19">
        <v>15</v>
      </c>
      <c r="M73" s="15">
        <v>46153</v>
      </c>
      <c r="N73" s="15" t="s">
        <v>178</v>
      </c>
      <c r="O73" t="s">
        <v>179</v>
      </c>
    </row>
    <row r="74" spans="1:16" ht="15" customHeight="1">
      <c r="A74" t="s">
        <v>224</v>
      </c>
      <c r="B74" t="s">
        <v>53</v>
      </c>
      <c r="C74" t="s">
        <v>116</v>
      </c>
      <c r="D74">
        <v>2017</v>
      </c>
      <c r="E74" t="s">
        <v>225</v>
      </c>
      <c r="F74" t="s">
        <v>226</v>
      </c>
      <c r="G74">
        <v>4</v>
      </c>
      <c r="H74" t="s">
        <v>113</v>
      </c>
      <c r="I74">
        <v>16</v>
      </c>
      <c r="J74" t="s">
        <v>195</v>
      </c>
      <c r="K74" s="19">
        <v>15</v>
      </c>
      <c r="M74" s="15">
        <v>46153</v>
      </c>
      <c r="N74" s="15" t="s">
        <v>178</v>
      </c>
      <c r="O74" t="s">
        <v>179</v>
      </c>
    </row>
    <row r="75" spans="1:16" ht="15" customHeight="1">
      <c r="A75" t="s">
        <v>224</v>
      </c>
      <c r="B75" t="s">
        <v>53</v>
      </c>
      <c r="C75" t="s">
        <v>116</v>
      </c>
      <c r="D75">
        <v>2017</v>
      </c>
      <c r="E75" t="s">
        <v>225</v>
      </c>
      <c r="F75" t="s">
        <v>226</v>
      </c>
      <c r="G75">
        <v>4</v>
      </c>
      <c r="H75" t="s">
        <v>113</v>
      </c>
      <c r="I75">
        <v>16</v>
      </c>
      <c r="J75" t="s">
        <v>195</v>
      </c>
      <c r="K75" s="19">
        <v>15</v>
      </c>
      <c r="M75" s="15">
        <v>46153</v>
      </c>
      <c r="N75" s="15" t="s">
        <v>178</v>
      </c>
      <c r="O75" t="s">
        <v>179</v>
      </c>
    </row>
    <row r="76" spans="1:16" ht="15" customHeight="1">
      <c r="A76" t="s">
        <v>224</v>
      </c>
      <c r="B76" t="s">
        <v>53</v>
      </c>
      <c r="C76" t="s">
        <v>116</v>
      </c>
      <c r="D76">
        <v>2017</v>
      </c>
      <c r="E76" t="s">
        <v>225</v>
      </c>
      <c r="F76" t="s">
        <v>226</v>
      </c>
      <c r="G76">
        <v>4</v>
      </c>
      <c r="H76" t="s">
        <v>113</v>
      </c>
      <c r="I76">
        <v>16</v>
      </c>
      <c r="J76" t="s">
        <v>195</v>
      </c>
      <c r="K76" s="19">
        <v>15</v>
      </c>
      <c r="M76" s="15">
        <v>46153</v>
      </c>
      <c r="N76" s="15" t="s">
        <v>178</v>
      </c>
      <c r="O76" t="s">
        <v>179</v>
      </c>
    </row>
    <row r="77" spans="1:16" ht="15" customHeight="1">
      <c r="A77" t="s">
        <v>224</v>
      </c>
      <c r="B77" t="s">
        <v>53</v>
      </c>
      <c r="C77" t="s">
        <v>116</v>
      </c>
      <c r="D77">
        <v>2017</v>
      </c>
      <c r="E77" t="s">
        <v>225</v>
      </c>
      <c r="F77" t="s">
        <v>226</v>
      </c>
      <c r="G77">
        <v>4</v>
      </c>
      <c r="H77" t="s">
        <v>113</v>
      </c>
      <c r="I77">
        <v>16</v>
      </c>
      <c r="J77" t="s">
        <v>195</v>
      </c>
      <c r="K77" s="19">
        <v>15</v>
      </c>
      <c r="M77" s="15">
        <v>46153</v>
      </c>
      <c r="N77" s="15" t="s">
        <v>178</v>
      </c>
      <c r="O77" t="s">
        <v>179</v>
      </c>
    </row>
    <row r="78" spans="1:16" ht="15" customHeight="1">
      <c r="A78" t="s">
        <v>59</v>
      </c>
      <c r="B78" t="s">
        <v>30</v>
      </c>
      <c r="C78" t="s">
        <v>110</v>
      </c>
      <c r="D78">
        <v>2015</v>
      </c>
      <c r="E78" t="s">
        <v>137</v>
      </c>
      <c r="F78" t="s">
        <v>127</v>
      </c>
      <c r="G78">
        <v>16</v>
      </c>
      <c r="H78" t="s">
        <v>120</v>
      </c>
      <c r="I78">
        <v>256</v>
      </c>
      <c r="J78" t="s">
        <v>114</v>
      </c>
      <c r="K78" s="19">
        <v>255</v>
      </c>
      <c r="L78" s="1"/>
      <c r="M78" s="15">
        <v>46155</v>
      </c>
      <c r="N78" s="15" t="s">
        <v>227</v>
      </c>
      <c r="O78" t="s">
        <v>202</v>
      </c>
    </row>
    <row r="79" spans="1:16" ht="15" customHeight="1">
      <c r="A79" t="s">
        <v>198</v>
      </c>
      <c r="B79" t="s">
        <v>30</v>
      </c>
      <c r="C79" t="s">
        <v>110</v>
      </c>
      <c r="D79">
        <v>2018</v>
      </c>
      <c r="E79" t="s">
        <v>228</v>
      </c>
      <c r="F79" t="s">
        <v>127</v>
      </c>
      <c r="G79">
        <v>8</v>
      </c>
      <c r="H79" t="s">
        <v>120</v>
      </c>
      <c r="I79">
        <v>256</v>
      </c>
      <c r="J79" t="s">
        <v>114</v>
      </c>
      <c r="K79" s="19">
        <f>_xlfn.SINGLE(200)</f>
        <v>200</v>
      </c>
      <c r="L79" s="1"/>
      <c r="M79" s="15">
        <v>46155</v>
      </c>
      <c r="N79" s="15" t="s">
        <v>227</v>
      </c>
      <c r="O79" t="s">
        <v>202</v>
      </c>
    </row>
    <row r="80" spans="1:16" ht="15" customHeight="1">
      <c r="A80" t="s">
        <v>229</v>
      </c>
      <c r="B80" t="s">
        <v>39</v>
      </c>
      <c r="C80" t="s">
        <v>116</v>
      </c>
      <c r="D80">
        <v>2019</v>
      </c>
      <c r="E80" t="s">
        <v>230</v>
      </c>
      <c r="F80" t="s">
        <v>127</v>
      </c>
      <c r="G80">
        <v>16</v>
      </c>
      <c r="H80" t="s">
        <v>120</v>
      </c>
      <c r="I80">
        <v>256</v>
      </c>
      <c r="J80" t="s">
        <v>114</v>
      </c>
      <c r="K80" s="19">
        <v>300</v>
      </c>
      <c r="L80" s="1"/>
      <c r="M80" s="15">
        <v>46155</v>
      </c>
      <c r="N80" s="15" t="s">
        <v>231</v>
      </c>
      <c r="O80" t="s">
        <v>179</v>
      </c>
      <c r="P80" s="31" t="s">
        <v>232</v>
      </c>
    </row>
    <row r="81" spans="1:16" ht="15" customHeight="1">
      <c r="A81" t="s">
        <v>55</v>
      </c>
      <c r="B81" t="s">
        <v>39</v>
      </c>
      <c r="C81" t="s">
        <v>116</v>
      </c>
      <c r="D81">
        <v>2019</v>
      </c>
      <c r="E81" t="s">
        <v>233</v>
      </c>
      <c r="F81" t="s">
        <v>127</v>
      </c>
      <c r="G81">
        <v>8</v>
      </c>
      <c r="H81" t="s">
        <v>120</v>
      </c>
      <c r="I81">
        <v>256</v>
      </c>
      <c r="J81" t="s">
        <v>114</v>
      </c>
      <c r="K81" s="19">
        <v>300</v>
      </c>
      <c r="L81" s="1"/>
      <c r="M81" s="15">
        <v>46155</v>
      </c>
      <c r="N81" s="15" t="s">
        <v>234</v>
      </c>
      <c r="O81" t="s">
        <v>179</v>
      </c>
      <c r="P81" s="31" t="s">
        <v>235</v>
      </c>
    </row>
    <row r="82" spans="1:16" ht="15" customHeight="1">
      <c r="A82" t="s">
        <v>216</v>
      </c>
      <c r="B82" t="s">
        <v>30</v>
      </c>
      <c r="C82" t="s">
        <v>116</v>
      </c>
      <c r="D82">
        <v>2018</v>
      </c>
      <c r="E82" t="s">
        <v>236</v>
      </c>
      <c r="F82" t="s">
        <v>127</v>
      </c>
      <c r="G82">
        <v>8</v>
      </c>
      <c r="H82" t="s">
        <v>120</v>
      </c>
      <c r="I82">
        <v>256</v>
      </c>
      <c r="J82" t="s">
        <v>114</v>
      </c>
      <c r="K82" s="19">
        <v>120</v>
      </c>
      <c r="L82" s="1"/>
      <c r="M82" s="15">
        <v>46155</v>
      </c>
      <c r="N82" s="15" t="s">
        <v>227</v>
      </c>
      <c r="O82" t="s">
        <v>202</v>
      </c>
    </row>
    <row r="83" spans="1:16" ht="15" customHeight="1">
      <c r="A83" t="s">
        <v>237</v>
      </c>
      <c r="B83" t="s">
        <v>30</v>
      </c>
      <c r="C83" t="s">
        <v>116</v>
      </c>
      <c r="D83">
        <v>2019</v>
      </c>
      <c r="E83" t="s">
        <v>238</v>
      </c>
      <c r="F83" t="s">
        <v>127</v>
      </c>
      <c r="G83">
        <v>8</v>
      </c>
      <c r="H83" t="s">
        <v>120</v>
      </c>
      <c r="I83">
        <v>256</v>
      </c>
      <c r="J83" t="s">
        <v>114</v>
      </c>
      <c r="K83" s="19">
        <v>265</v>
      </c>
      <c r="L83" s="1"/>
      <c r="M83" s="15">
        <v>46155</v>
      </c>
      <c r="N83" s="15" t="s">
        <v>227</v>
      </c>
      <c r="O83" t="s">
        <v>202</v>
      </c>
    </row>
    <row r="84" spans="1:16" ht="15" customHeight="1">
      <c r="A84" t="s">
        <v>239</v>
      </c>
      <c r="B84" t="s">
        <v>15</v>
      </c>
      <c r="C84" s="28" t="s">
        <v>116</v>
      </c>
      <c r="D84">
        <v>2020</v>
      </c>
      <c r="E84" s="28" t="s">
        <v>240</v>
      </c>
      <c r="F84" s="28" t="s">
        <v>127</v>
      </c>
      <c r="G84" s="29">
        <v>8</v>
      </c>
      <c r="H84" s="28" t="s">
        <v>120</v>
      </c>
      <c r="I84" s="28">
        <v>256</v>
      </c>
      <c r="J84" t="s">
        <v>114</v>
      </c>
      <c r="K84" s="19">
        <v>400</v>
      </c>
      <c r="L84" s="1"/>
      <c r="M84" s="15">
        <v>46155</v>
      </c>
      <c r="N84" s="15" t="s">
        <v>227</v>
      </c>
      <c r="O84" t="s">
        <v>202</v>
      </c>
    </row>
    <row r="85" spans="1:16" ht="15" customHeight="1">
      <c r="A85" t="s">
        <v>241</v>
      </c>
      <c r="B85" t="s">
        <v>53</v>
      </c>
      <c r="C85" t="s">
        <v>116</v>
      </c>
      <c r="D85">
        <v>2014</v>
      </c>
      <c r="E85" t="s">
        <v>242</v>
      </c>
      <c r="F85" t="s">
        <v>226</v>
      </c>
      <c r="G85">
        <v>4</v>
      </c>
      <c r="H85" t="s">
        <v>113</v>
      </c>
      <c r="I85">
        <v>16</v>
      </c>
      <c r="J85" t="s">
        <v>195</v>
      </c>
      <c r="K85" s="19">
        <v>15</v>
      </c>
      <c r="M85" s="15">
        <v>46157</v>
      </c>
      <c r="N85" s="15" t="s">
        <v>178</v>
      </c>
      <c r="O85" t="s">
        <v>179</v>
      </c>
    </row>
    <row r="86" spans="1:16" ht="15" customHeight="1">
      <c r="A86" t="s">
        <v>243</v>
      </c>
      <c r="B86" t="s">
        <v>53</v>
      </c>
      <c r="C86" t="s">
        <v>116</v>
      </c>
      <c r="D86">
        <v>2015</v>
      </c>
      <c r="E86" t="s">
        <v>244</v>
      </c>
      <c r="F86" t="s">
        <v>226</v>
      </c>
      <c r="G86">
        <v>4</v>
      </c>
      <c r="H86" t="s">
        <v>113</v>
      </c>
      <c r="I86">
        <v>16</v>
      </c>
      <c r="J86" t="s">
        <v>195</v>
      </c>
      <c r="K86" s="19">
        <v>15</v>
      </c>
      <c r="M86" s="15">
        <v>46157</v>
      </c>
      <c r="N86" s="15" t="s">
        <v>178</v>
      </c>
      <c r="O86" t="s">
        <v>179</v>
      </c>
    </row>
    <row r="87" spans="1:16" ht="15" customHeight="1">
      <c r="A87" t="s">
        <v>243</v>
      </c>
      <c r="B87" t="s">
        <v>53</v>
      </c>
      <c r="C87" t="s">
        <v>116</v>
      </c>
      <c r="D87">
        <v>2015</v>
      </c>
      <c r="E87" t="s">
        <v>245</v>
      </c>
      <c r="F87" t="s">
        <v>226</v>
      </c>
      <c r="G87">
        <v>4</v>
      </c>
      <c r="H87" t="s">
        <v>120</v>
      </c>
      <c r="I87">
        <v>16</v>
      </c>
      <c r="J87" t="s">
        <v>195</v>
      </c>
      <c r="K87" s="19">
        <v>15</v>
      </c>
      <c r="M87" s="15">
        <v>46158</v>
      </c>
      <c r="N87" s="15" t="s">
        <v>178</v>
      </c>
      <c r="O87" t="s">
        <v>179</v>
      </c>
    </row>
    <row r="88" spans="1:16" ht="15" customHeight="1">
      <c r="A88" t="s">
        <v>243</v>
      </c>
      <c r="B88" t="s">
        <v>53</v>
      </c>
      <c r="C88" t="s">
        <v>116</v>
      </c>
      <c r="D88">
        <v>2015</v>
      </c>
      <c r="E88" t="s">
        <v>246</v>
      </c>
      <c r="F88" t="s">
        <v>226</v>
      </c>
      <c r="G88">
        <v>4</v>
      </c>
      <c r="H88" t="s">
        <v>247</v>
      </c>
      <c r="I88">
        <v>16</v>
      </c>
      <c r="J88" t="s">
        <v>195</v>
      </c>
      <c r="K88" s="19">
        <v>15</v>
      </c>
      <c r="M88" s="15">
        <v>46159</v>
      </c>
      <c r="N88" s="15" t="s">
        <v>178</v>
      </c>
      <c r="O88" t="s">
        <v>179</v>
      </c>
    </row>
    <row r="89" spans="1:16" ht="15" customHeight="1">
      <c r="A89" t="s">
        <v>243</v>
      </c>
      <c r="B89" t="s">
        <v>53</v>
      </c>
      <c r="C89" t="s">
        <v>116</v>
      </c>
      <c r="D89">
        <v>2015</v>
      </c>
      <c r="E89" t="s">
        <v>248</v>
      </c>
      <c r="F89" t="s">
        <v>226</v>
      </c>
      <c r="G89">
        <v>4</v>
      </c>
      <c r="H89" t="s">
        <v>249</v>
      </c>
      <c r="I89">
        <v>16</v>
      </c>
      <c r="J89" t="s">
        <v>195</v>
      </c>
      <c r="K89" s="19">
        <v>15</v>
      </c>
      <c r="M89" s="15">
        <v>46160</v>
      </c>
      <c r="N89" s="15" t="s">
        <v>178</v>
      </c>
      <c r="O89" t="s">
        <v>179</v>
      </c>
    </row>
    <row r="90" spans="1:16" ht="15" customHeight="1">
      <c r="A90" t="s">
        <v>243</v>
      </c>
      <c r="B90" t="s">
        <v>53</v>
      </c>
      <c r="C90" t="s">
        <v>116</v>
      </c>
      <c r="D90">
        <v>2015</v>
      </c>
      <c r="E90" t="s">
        <v>250</v>
      </c>
      <c r="F90" t="s">
        <v>226</v>
      </c>
      <c r="G90">
        <v>4</v>
      </c>
      <c r="H90" t="s">
        <v>251</v>
      </c>
      <c r="I90">
        <v>16</v>
      </c>
      <c r="J90" t="s">
        <v>195</v>
      </c>
      <c r="K90" s="19">
        <v>15</v>
      </c>
      <c r="M90" s="15">
        <v>46161</v>
      </c>
      <c r="N90" s="15" t="s">
        <v>178</v>
      </c>
      <c r="O90" t="s">
        <v>179</v>
      </c>
    </row>
    <row r="91" spans="1:16" ht="15" customHeight="1">
      <c r="A91" t="s">
        <v>224</v>
      </c>
      <c r="B91" t="s">
        <v>53</v>
      </c>
      <c r="C91" t="s">
        <v>116</v>
      </c>
      <c r="D91">
        <v>2017</v>
      </c>
      <c r="E91" t="s">
        <v>225</v>
      </c>
      <c r="F91" t="s">
        <v>226</v>
      </c>
      <c r="G91">
        <v>4</v>
      </c>
      <c r="H91" t="s">
        <v>113</v>
      </c>
      <c r="I91">
        <v>16</v>
      </c>
      <c r="J91" t="s">
        <v>195</v>
      </c>
      <c r="K91" s="19">
        <v>15</v>
      </c>
      <c r="M91" s="15">
        <v>46157</v>
      </c>
      <c r="N91" s="15" t="s">
        <v>178</v>
      </c>
      <c r="O91" t="s">
        <v>179</v>
      </c>
    </row>
    <row r="92" spans="1:16" ht="15" customHeight="1">
      <c r="A92" t="s">
        <v>224</v>
      </c>
      <c r="B92" t="s">
        <v>53</v>
      </c>
      <c r="C92" t="s">
        <v>116</v>
      </c>
      <c r="D92">
        <v>2017</v>
      </c>
      <c r="E92" t="s">
        <v>225</v>
      </c>
      <c r="F92" t="s">
        <v>226</v>
      </c>
      <c r="G92">
        <v>4</v>
      </c>
      <c r="H92" t="s">
        <v>113</v>
      </c>
      <c r="I92">
        <v>16</v>
      </c>
      <c r="J92" t="s">
        <v>195</v>
      </c>
      <c r="K92" s="19">
        <v>15</v>
      </c>
      <c r="M92" s="15">
        <v>46157</v>
      </c>
      <c r="N92" s="15" t="s">
        <v>178</v>
      </c>
      <c r="O92" t="s">
        <v>179</v>
      </c>
    </row>
    <row r="93" spans="1:16" ht="15" customHeight="1">
      <c r="A93" t="s">
        <v>224</v>
      </c>
      <c r="B93" t="s">
        <v>53</v>
      </c>
      <c r="C93" t="s">
        <v>116</v>
      </c>
      <c r="D93">
        <v>2017</v>
      </c>
      <c r="E93" t="s">
        <v>225</v>
      </c>
      <c r="F93" t="s">
        <v>226</v>
      </c>
      <c r="G93">
        <v>4</v>
      </c>
      <c r="H93" t="s">
        <v>113</v>
      </c>
      <c r="I93">
        <v>16</v>
      </c>
      <c r="J93" t="s">
        <v>195</v>
      </c>
      <c r="K93" s="19">
        <v>15</v>
      </c>
      <c r="M93" s="15">
        <v>46157</v>
      </c>
      <c r="N93" s="15" t="s">
        <v>178</v>
      </c>
      <c r="O93" t="s">
        <v>179</v>
      </c>
    </row>
    <row r="94" spans="1:16" ht="15" customHeight="1">
      <c r="M94" s="15"/>
      <c r="N94" s="15"/>
    </row>
    <row r="95" spans="1:16" ht="15" customHeight="1">
      <c r="M95" s="15"/>
      <c r="N95" s="15"/>
    </row>
    <row r="96" spans="1:16" ht="15" customHeight="1">
      <c r="M96" s="15"/>
      <c r="N96" s="15"/>
    </row>
    <row r="97" spans="13:14" ht="15" customHeight="1">
      <c r="M97" s="15"/>
      <c r="N97" s="15"/>
    </row>
    <row r="98" spans="13:14" ht="15" customHeight="1">
      <c r="M98" s="15"/>
      <c r="N98" s="15"/>
    </row>
    <row r="99" spans="13:14" ht="15" customHeight="1">
      <c r="M99" s="15"/>
      <c r="N99" s="15"/>
    </row>
    <row r="100" spans="13:14" ht="15" customHeight="1">
      <c r="M100" s="15"/>
      <c r="N100" s="15"/>
    </row>
    <row r="101" spans="13:14" ht="15" customHeight="1">
      <c r="M101" s="15"/>
      <c r="N101" s="15"/>
    </row>
    <row r="102" spans="13:14" ht="15" customHeight="1">
      <c r="M102" s="15"/>
      <c r="N102" s="15"/>
    </row>
    <row r="103" spans="13:14" ht="15" customHeight="1">
      <c r="M103" s="15"/>
      <c r="N103" s="15"/>
    </row>
    <row r="104" spans="13:14" ht="15" customHeight="1">
      <c r="M104" s="15"/>
      <c r="N104" s="15"/>
    </row>
  </sheetData>
  <phoneticPr fontId="2" type="noConversion"/>
  <conditionalFormatting sqref="A44:G44 I44:L44">
    <cfRule type="expression" dxfId="21" priority="65">
      <formula>ISEVEN(ROW())</formula>
    </cfRule>
  </conditionalFormatting>
  <conditionalFormatting sqref="A44:G44 I44:N44">
    <cfRule type="expression" dxfId="20" priority="66">
      <formula>ISODD(ROW())</formula>
    </cfRule>
  </conditionalFormatting>
  <conditionalFormatting sqref="A78:L78">
    <cfRule type="expression" dxfId="19" priority="19">
      <formula>ISEVEN(ROW())</formula>
    </cfRule>
    <cfRule type="expression" dxfId="18" priority="20">
      <formula>ISODD(ROW())</formula>
    </cfRule>
  </conditionalFormatting>
  <conditionalFormatting sqref="A80:L83">
    <cfRule type="expression" dxfId="17" priority="9">
      <formula>ISEVEN(ROW())</formula>
    </cfRule>
    <cfRule type="expression" dxfId="16" priority="10">
      <formula>ISODD(ROW())</formula>
    </cfRule>
  </conditionalFormatting>
  <conditionalFormatting sqref="A3:O9 A10:H15 J10:O15 A16:O43 O44 A45:O45">
    <cfRule type="expression" priority="67">
      <formula>ISEVEN(ROW())</formula>
    </cfRule>
    <cfRule type="expression" dxfId="15" priority="68">
      <formula>ISODD(ROW())</formula>
    </cfRule>
  </conditionalFormatting>
  <conditionalFormatting sqref="B46:D77 F46:I77 K46:O77">
    <cfRule type="expression" priority="21">
      <formula>ISEVEN(ROW())</formula>
    </cfRule>
    <cfRule type="expression" dxfId="14" priority="22">
      <formula>ISODD(ROW())</formula>
    </cfRule>
  </conditionalFormatting>
  <conditionalFormatting sqref="B91:D93 F91:I93 K91:O93">
    <cfRule type="expression" priority="1">
      <formula>ISEVEN(ROW())</formula>
    </cfRule>
    <cfRule type="expression" dxfId="13" priority="2">
      <formula>ISODD(ROW())</formula>
    </cfRule>
  </conditionalFormatting>
  <conditionalFormatting sqref="C84 E84:I84">
    <cfRule type="expression" dxfId="12" priority="7">
      <formula>ISEVEN(ROW())</formula>
    </cfRule>
    <cfRule type="expression" dxfId="11" priority="8">
      <formula>ISODD(ROW())</formula>
    </cfRule>
  </conditionalFormatting>
  <conditionalFormatting sqref="H44">
    <cfRule type="expression" priority="63">
      <formula>ISEVEN(ROW())</formula>
    </cfRule>
    <cfRule type="expression" dxfId="10" priority="64">
      <formula>ISODD(ROW())</formula>
    </cfRule>
  </conditionalFormatting>
  <conditionalFormatting sqref="I10:I15">
    <cfRule type="expression" dxfId="9" priority="61">
      <formula>ISEVEN(ROW())</formula>
    </cfRule>
    <cfRule type="expression" dxfId="8" priority="62">
      <formula>ISODD(ROW())</formula>
    </cfRule>
  </conditionalFormatting>
  <conditionalFormatting sqref="M78:M84">
    <cfRule type="expression" priority="17">
      <formula>ISEVEN(ROW())</formula>
    </cfRule>
    <cfRule type="expression" dxfId="7" priority="18">
      <formula>ISODD(ROW())</formula>
    </cfRule>
  </conditionalFormatting>
  <conditionalFormatting sqref="N85:N90">
    <cfRule type="expression" priority="5">
      <formula>ISEVEN(ROW())</formula>
    </cfRule>
    <cfRule type="expression" dxfId="6" priority="6">
      <formula>ISODD(ROW())</formula>
    </cfRule>
  </conditionalFormatting>
  <dataValidations count="3">
    <dataValidation type="whole" allowBlank="1" showInputMessage="1" showErrorMessage="1" sqref="L32:L42" xr:uid="{9E34EFD6-6288-43CE-B05D-35BC10E05685}">
      <formula1>1</formula1>
      <formula2>2000</formula2>
    </dataValidation>
    <dataValidation allowBlank="1" showInputMessage="1" showErrorMessage="1" sqref="O1 M1:N42 H84 M45:N1048576" xr:uid="{A9EBE1C3-8923-4578-8214-596FAC33FDB8}"/>
    <dataValidation type="list" allowBlank="1" showInputMessage="1" showErrorMessage="1" sqref="C3:C17 C19 C21:C29 C31:C42 C78 C80:C83" xr:uid="{C7FD23E6-3E08-4DF7-8556-C07E455C4835}">
      <formula1>"Desktop,Laptop,Tablet,All-In-One"</formula1>
    </dataValidation>
  </dataValidations>
  <hyperlinks>
    <hyperlink ref="P80" r:id="rId1" xr:uid="{88E36221-050A-4484-95D7-E396668D9595}"/>
    <hyperlink ref="P81" r:id="rId2" xr:uid="{ADE433DC-94EB-4AAD-9404-DB569BB97262}"/>
  </hyperlinks>
  <pageMargins left="0.7" right="0.7" top="0.75" bottom="0.75" header="0.3" footer="0.3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6040A-3AF4-440D-9E03-57379B2EC394}">
  <dimension ref="A1:E20"/>
  <sheetViews>
    <sheetView workbookViewId="0">
      <selection activeCell="F13" sqref="F13"/>
    </sheetView>
  </sheetViews>
  <sheetFormatPr defaultRowHeight="15" customHeight="1"/>
  <cols>
    <col min="1" max="1" width="9.42578125" bestFit="1" customWidth="1"/>
    <col min="2" max="2" width="13.42578125" bestFit="1" customWidth="1"/>
    <col min="3" max="3" width="6.42578125" bestFit="1" customWidth="1"/>
    <col min="4" max="4" width="12" bestFit="1" customWidth="1"/>
    <col min="5" max="5" width="10.140625" customWidth="1"/>
  </cols>
  <sheetData>
    <row r="1" spans="1:5">
      <c r="A1" s="34" t="s">
        <v>252</v>
      </c>
      <c r="B1" s="35"/>
      <c r="C1" s="35"/>
      <c r="D1" s="35"/>
      <c r="E1" s="35"/>
    </row>
    <row r="2" spans="1:5">
      <c r="A2" t="s">
        <v>253</v>
      </c>
      <c r="B2" t="s">
        <v>254</v>
      </c>
      <c r="C2" t="s">
        <v>255</v>
      </c>
      <c r="D2" t="s">
        <v>256</v>
      </c>
      <c r="E2" s="1" t="s">
        <v>257</v>
      </c>
    </row>
    <row r="3" spans="1:5">
      <c r="A3" t="s">
        <v>258</v>
      </c>
      <c r="B3" t="s">
        <v>259</v>
      </c>
      <c r="C3">
        <v>11</v>
      </c>
      <c r="D3" s="23" t="s">
        <v>179</v>
      </c>
      <c r="E3" s="2">
        <v>50</v>
      </c>
    </row>
    <row r="4" spans="1:5">
      <c r="A4" t="s">
        <v>260</v>
      </c>
      <c r="B4" t="s">
        <v>259</v>
      </c>
      <c r="C4">
        <v>6</v>
      </c>
      <c r="D4" s="23" t="s">
        <v>179</v>
      </c>
      <c r="E4" s="2">
        <v>55</v>
      </c>
    </row>
    <row r="5" spans="1:5">
      <c r="A5" t="s">
        <v>261</v>
      </c>
      <c r="B5" t="s">
        <v>262</v>
      </c>
      <c r="C5">
        <v>2</v>
      </c>
      <c r="D5" s="23" t="s">
        <v>202</v>
      </c>
      <c r="E5" s="2">
        <v>5</v>
      </c>
    </row>
    <row r="6" spans="1:5">
      <c r="A6" t="s">
        <v>261</v>
      </c>
      <c r="B6" t="s">
        <v>263</v>
      </c>
      <c r="C6">
        <v>10</v>
      </c>
      <c r="D6" s="23" t="s">
        <v>202</v>
      </c>
      <c r="E6" s="2">
        <v>10</v>
      </c>
    </row>
    <row r="7" spans="1:5">
      <c r="A7" t="s">
        <v>261</v>
      </c>
      <c r="B7" t="s">
        <v>264</v>
      </c>
      <c r="C7">
        <v>2</v>
      </c>
      <c r="D7" s="23" t="s">
        <v>202</v>
      </c>
      <c r="E7" s="2">
        <v>5</v>
      </c>
    </row>
    <row r="8" spans="1:5">
      <c r="A8" t="s">
        <v>261</v>
      </c>
      <c r="B8" t="s">
        <v>265</v>
      </c>
      <c r="C8">
        <v>18</v>
      </c>
      <c r="D8" s="23" t="s">
        <v>179</v>
      </c>
      <c r="E8" s="2">
        <v>35</v>
      </c>
    </row>
    <row r="9" spans="1:5">
      <c r="A9" t="s">
        <v>261</v>
      </c>
      <c r="B9" t="s">
        <v>266</v>
      </c>
      <c r="C9">
        <v>3</v>
      </c>
      <c r="D9" s="23" t="s">
        <v>179</v>
      </c>
      <c r="E9" s="2">
        <v>20</v>
      </c>
    </row>
    <row r="10" spans="1:5">
      <c r="A10" t="s">
        <v>261</v>
      </c>
      <c r="B10" t="s">
        <v>267</v>
      </c>
      <c r="C10">
        <v>3</v>
      </c>
      <c r="D10" s="23" t="s">
        <v>202</v>
      </c>
      <c r="E10" s="2">
        <v>20</v>
      </c>
    </row>
    <row r="11" spans="1:5">
      <c r="A11" t="s">
        <v>261</v>
      </c>
      <c r="B11" t="s">
        <v>268</v>
      </c>
      <c r="C11">
        <v>15</v>
      </c>
      <c r="D11" s="23" t="s">
        <v>202</v>
      </c>
      <c r="E11" s="2">
        <v>15</v>
      </c>
    </row>
    <row r="12" spans="1:5">
      <c r="A12" t="s">
        <v>261</v>
      </c>
      <c r="B12" t="s">
        <v>269</v>
      </c>
      <c r="C12">
        <v>1</v>
      </c>
      <c r="D12" s="23" t="s">
        <v>202</v>
      </c>
      <c r="E12" s="2">
        <v>50</v>
      </c>
    </row>
    <row r="13" spans="1:5">
      <c r="A13" t="s">
        <v>270</v>
      </c>
      <c r="B13" t="s">
        <v>265</v>
      </c>
      <c r="C13">
        <v>10</v>
      </c>
      <c r="D13" s="23" t="s">
        <v>202</v>
      </c>
      <c r="E13" s="2">
        <v>30</v>
      </c>
    </row>
    <row r="14" spans="1:5">
      <c r="A14" t="s">
        <v>270</v>
      </c>
      <c r="B14" t="s">
        <v>266</v>
      </c>
      <c r="C14">
        <v>3</v>
      </c>
      <c r="D14" s="23" t="s">
        <v>202</v>
      </c>
      <c r="E14" s="2">
        <v>25</v>
      </c>
    </row>
    <row r="15" spans="1:5">
      <c r="A15" t="s">
        <v>270</v>
      </c>
      <c r="B15" t="s">
        <v>269</v>
      </c>
      <c r="C15">
        <v>0</v>
      </c>
      <c r="D15" s="23" t="s">
        <v>202</v>
      </c>
      <c r="E15" s="2">
        <v>50</v>
      </c>
    </row>
    <row r="16" spans="1:5">
      <c r="A16" t="s">
        <v>270</v>
      </c>
      <c r="B16" t="s">
        <v>268</v>
      </c>
      <c r="C16">
        <v>11</v>
      </c>
      <c r="D16" s="23" t="s">
        <v>202</v>
      </c>
      <c r="E16" s="2">
        <v>10</v>
      </c>
    </row>
    <row r="17" spans="1:5" ht="15" customHeight="1">
      <c r="A17" t="s">
        <v>271</v>
      </c>
      <c r="B17" t="s">
        <v>272</v>
      </c>
      <c r="C17">
        <v>4</v>
      </c>
      <c r="D17" s="23" t="s">
        <v>202</v>
      </c>
      <c r="E17" s="2">
        <v>60</v>
      </c>
    </row>
    <row r="18" spans="1:5" ht="15" customHeight="1">
      <c r="D18" s="23"/>
    </row>
    <row r="19" spans="1:5" ht="15" customHeight="1">
      <c r="D19" s="23"/>
    </row>
    <row r="20" spans="1:5" ht="15" customHeight="1">
      <c r="D20" s="23"/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77F78-0898-4060-A2C7-C1A84336B28A}">
  <dimension ref="A1:C10"/>
  <sheetViews>
    <sheetView workbookViewId="0">
      <selection activeCell="B16" sqref="B16"/>
    </sheetView>
  </sheetViews>
  <sheetFormatPr defaultRowHeight="15" customHeight="1"/>
  <cols>
    <col min="1" max="1" width="33.140625" customWidth="1"/>
    <col min="2" max="2" width="10.140625" customWidth="1"/>
    <col min="3" max="3" width="10.140625" style="19" customWidth="1"/>
  </cols>
  <sheetData>
    <row r="1" spans="1:3" ht="15" customHeight="1">
      <c r="A1" s="34" t="s">
        <v>273</v>
      </c>
      <c r="B1" s="35"/>
      <c r="C1" s="24"/>
    </row>
    <row r="2" spans="1:3" ht="15" customHeight="1">
      <c r="A2" t="s">
        <v>274</v>
      </c>
      <c r="B2" s="1" t="s">
        <v>255</v>
      </c>
      <c r="C2" s="21" t="s">
        <v>257</v>
      </c>
    </row>
    <row r="3" spans="1:3" ht="15" customHeight="1">
      <c r="A3" t="s">
        <v>275</v>
      </c>
      <c r="B3">
        <v>4</v>
      </c>
      <c r="C3" s="19">
        <v>20</v>
      </c>
    </row>
    <row r="4" spans="1:3" ht="15" customHeight="1">
      <c r="A4" t="s">
        <v>276</v>
      </c>
      <c r="B4">
        <v>1</v>
      </c>
      <c r="C4" s="19">
        <v>80</v>
      </c>
    </row>
    <row r="5" spans="1:3" ht="15" customHeight="1">
      <c r="A5" t="s">
        <v>277</v>
      </c>
      <c r="B5">
        <v>2</v>
      </c>
      <c r="C5" s="19">
        <v>37</v>
      </c>
    </row>
    <row r="6" spans="1:3" ht="15" customHeight="1">
      <c r="A6" t="s">
        <v>278</v>
      </c>
      <c r="B6">
        <v>2</v>
      </c>
      <c r="C6" s="19">
        <v>5</v>
      </c>
    </row>
    <row r="7" spans="1:3" ht="15" customHeight="1">
      <c r="A7" t="s">
        <v>279</v>
      </c>
      <c r="B7">
        <v>2</v>
      </c>
      <c r="C7" s="19">
        <v>10</v>
      </c>
    </row>
    <row r="8" spans="1:3" ht="15" customHeight="1">
      <c r="A8" t="s">
        <v>280</v>
      </c>
      <c r="B8">
        <v>5</v>
      </c>
      <c r="C8" s="19">
        <v>15</v>
      </c>
    </row>
    <row r="9" spans="1:3" ht="15" customHeight="1">
      <c r="A9" t="s">
        <v>281</v>
      </c>
      <c r="B9">
        <v>1</v>
      </c>
      <c r="C9" s="19">
        <v>20</v>
      </c>
    </row>
    <row r="10" spans="1:3" ht="15" customHeight="1">
      <c r="A10" t="s">
        <v>282</v>
      </c>
      <c r="B10">
        <v>6</v>
      </c>
      <c r="C10" s="19">
        <v>15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Lucas, Jack</dc:creator>
  <cp:keywords/>
  <dc:description/>
  <cp:lastModifiedBy/>
  <cp:revision/>
  <dcterms:created xsi:type="dcterms:W3CDTF">2025-11-03T20:20:26Z</dcterms:created>
  <dcterms:modified xsi:type="dcterms:W3CDTF">2026-05-18T19:29:34Z</dcterms:modified>
  <cp:category/>
  <cp:contentStatus/>
</cp:coreProperties>
</file>